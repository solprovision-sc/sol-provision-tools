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GNATURES" sheetId="1" r:id="rId5"/>
    <sheet state="visible" name="LOCATIONS" sheetId="2" r:id="rId6"/>
    <sheet state="visible" name="ORES" sheetId="3" r:id="rId7"/>
    <sheet state="visible" name="LEDGER" sheetId="4" r:id="rId8"/>
    <sheet state="visible" name="ROLLING_LOG" sheetId="5" r:id="rId9"/>
    <sheet state="visible" name="STATS_MASTER" sheetId="6" r:id="rId10"/>
    <sheet state="visible" name="HEAT_MAP" sheetId="7" r:id="rId11"/>
  </sheets>
  <definedNames/>
  <calcPr/>
  <pivotCaches>
    <pivotCache cacheId="0" r:id="rId12"/>
  </pivotCaches>
</workbook>
</file>

<file path=xl/sharedStrings.xml><?xml version="1.0" encoding="utf-8"?>
<sst xmlns="http://schemas.openxmlformats.org/spreadsheetml/2006/main" count="2001" uniqueCount="575">
  <si>
    <t>Debris.xml</t>
  </si>
  <si>
    <t>mineablerock_fps_aphorite.xml</t>
  </si>
  <si>
    <t>mineablerock_fps_carinite.xml</t>
  </si>
  <si>
    <t>mineablerock_fps_carinite_large.xml</t>
  </si>
  <si>
    <t>mineablerock_fps_carinite_pure_small.xml</t>
  </si>
  <si>
    <t>mineablerock_fps_carinitesmall.xml</t>
  </si>
  <si>
    <t>mineablerock_fps_dolivine.xml</t>
  </si>
  <si>
    <t>mineablerock_fps_hadanite.xml</t>
  </si>
  <si>
    <t>mineablerock_fps_jaclium.xml</t>
  </si>
  <si>
    <t>mineablerock_fps_jaclium_large.xml</t>
  </si>
  <si>
    <t>mineablerock_fps_jacliumsmall.xml</t>
  </si>
  <si>
    <t>mineablerock_fps_janalite.xml</t>
  </si>
  <si>
    <t>mineablerock_fps_sadaryx.xml</t>
  </si>
  <si>
    <t>mineablerock_fps_saldynium.xml</t>
  </si>
  <si>
    <t>mineablerock_asteroidlegendary_quantainium.xml</t>
  </si>
  <si>
    <t>mineablerock_surfacelegendary_quantainium.xml</t>
  </si>
  <si>
    <t>mineablerock_asteroidlegendary_stileron.xml</t>
  </si>
  <si>
    <t>mineablerock_surfacelegendary_stileron.xml</t>
  </si>
  <si>
    <t>mineablerock_asteroidlegendary_savrilium.xml</t>
  </si>
  <si>
    <t>mineablerock_asteroidlegendary_savrilium_rcd_large.xml</t>
  </si>
  <si>
    <t>mineablerock_surfacelegendary_savrilium.xml</t>
  </si>
  <si>
    <t>mineablerock_asteroidepic_ouratite.xml</t>
  </si>
  <si>
    <t>mineablerock_surfaceepic_ouratite.xml</t>
  </si>
  <si>
    <t>Ouratite</t>
  </si>
  <si>
    <t>mineablerock_asteroidepic_riccite.xml</t>
  </si>
  <si>
    <t>mineablerock_surfaceepic_riccite.xml</t>
  </si>
  <si>
    <t>mineablerock_asteroidepic_lindinium.xml</t>
  </si>
  <si>
    <t>mineablerock_surfaceepic_lindinium.xml</t>
  </si>
  <si>
    <t>mineablerock_asteroidrare_beryl.xml</t>
  </si>
  <si>
    <t>mineablerock_surfacerare_beryl.xml</t>
  </si>
  <si>
    <t>mineablerock_asteroidrare_taranite.xml</t>
  </si>
  <si>
    <t>mineablerock_surfacerare_taranite.xml</t>
  </si>
  <si>
    <t>mineablerock_asteroidrare_borase.xml</t>
  </si>
  <si>
    <t>mineablerock_surfacerare_borase.xml</t>
  </si>
  <si>
    <t>mineablerock_asteroidrare_gold.xml</t>
  </si>
  <si>
    <t>mineablerock_surfacerare_gold.xml</t>
  </si>
  <si>
    <t>mineablerock_asteroidrare_bexalite.xml</t>
  </si>
  <si>
    <t>mineablerock_surfacerare_bexalite.xml</t>
  </si>
  <si>
    <t>mineablerock_asteroiduncommon_laranite.xml</t>
  </si>
  <si>
    <t>mineablerock_surfaceuncommon_laranite.xml</t>
  </si>
  <si>
    <t>mineablerock_asteroiduncommon_aslarite.xml</t>
  </si>
  <si>
    <t>mineablerock_surfaceuncommon_aslarite.xml</t>
  </si>
  <si>
    <t>mineablerock_asteroiduncommon_titanium.xml</t>
  </si>
  <si>
    <t>mineablerock_surfaceuncommon_titanium.xml</t>
  </si>
  <si>
    <t>mineablerock_asteroiduncommon_tungsten.xml</t>
  </si>
  <si>
    <t>mineablerock_surfaceuncommon_tungsten.xml</t>
  </si>
  <si>
    <t>mineablerock_asteroiduncommon_agricium.xml</t>
  </si>
  <si>
    <t>mineablerock_surfaceuncommon_agricium.xml</t>
  </si>
  <si>
    <t>mineablerock_asteroiduncommon_torite.xml</t>
  </si>
  <si>
    <t>mineablerock_asteroiduncommon_torite_rcd_large.xml</t>
  </si>
  <si>
    <t>mineablerock_surfaceuncommon_torite.xml</t>
  </si>
  <si>
    <t>asteroiditypemineablerock.xml</t>
  </si>
  <si>
    <t>asteroiditypemineablerock_ice.xml</t>
  </si>
  <si>
    <t>atacamitemineablerock.xml</t>
  </si>
  <si>
    <t>atacamitemineablerock_aluminium.xml</t>
  </si>
  <si>
    <t>atacamitemineablerock_copper.xml</t>
  </si>
  <si>
    <t>atacamitemineablerock_corundum.xml</t>
  </si>
  <si>
    <t>atacamitemineablerock_iron.xml</t>
  </si>
  <si>
    <t>atacamitemineablerock_quartz.xml</t>
  </si>
  <si>
    <t>atacamitemineablerock_silicon.xml</t>
  </si>
  <si>
    <t>atacamitemineablerock_tin.xml</t>
  </si>
  <si>
    <t>atacamitemineablerock_titanium.xml</t>
  </si>
  <si>
    <t>atacamitemineablerock_tungsten.xml</t>
  </si>
  <si>
    <t>cavelargemineablerock.xml</t>
  </si>
  <si>
    <t>mineablerock.xml</t>
  </si>
  <si>
    <t>mineablerock_groundvehicle_beradom.xml</t>
  </si>
  <si>
    <t>mineablerock_groundvehicle_carinite.xml</t>
  </si>
  <si>
    <t>mineablerock_groundvehicle_feynmaline.xml</t>
  </si>
  <si>
    <t>mineablerock_groundvehicle_glacosite.xml</t>
  </si>
  <si>
    <t>mineablerock_asteroidcommon_hephaestanite.xml</t>
  </si>
  <si>
    <t>mineablerock_surfacecommon_hephaestanite.xml</t>
  </si>
  <si>
    <t>mineablerock_asteroidcommon_tin.xml</t>
  </si>
  <si>
    <t>mineablerock_surfacecommon_tin.xml</t>
  </si>
  <si>
    <t>mineablerock_asteroidcommon_quartz.xml</t>
  </si>
  <si>
    <t>mineablerock_surfacecommon_quartz.xml</t>
  </si>
  <si>
    <t>mineablerock_asteroidcommon_corundum.xml</t>
  </si>
  <si>
    <t>mineablerock_surfacecommon_corundum.xml</t>
  </si>
  <si>
    <t>mineablerock_asteroidcommon_copper.xml</t>
  </si>
  <si>
    <t>mineablerock_surfacecommon_copper.xml</t>
  </si>
  <si>
    <t>mineablerock_asteroidcommon_silicon.xml</t>
  </si>
  <si>
    <t>mineablerock_surfacecommon_silicon.xml</t>
  </si>
  <si>
    <t>mineablerock_asteroidcommon_iron.xml</t>
  </si>
  <si>
    <t>mineablerock_surfacecommon_iron.xml</t>
  </si>
  <si>
    <t>mineablerock_asteroidcommon_aluminum.xml</t>
  </si>
  <si>
    <t>mineablerock_surfacecommon_aluminum.xml</t>
  </si>
  <si>
    <t>mineablerock_asteroidcommon_ice.xml</t>
  </si>
  <si>
    <t>mineablerock_surfacecommon_ice.xml</t>
  </si>
  <si>
    <t>asteroidctypemineablerock.xml</t>
  </si>
  <si>
    <t>asteroidctypemineablerock_aluminium.xml</t>
  </si>
  <si>
    <t>asteroidctypemineablerock_copper.xml</t>
  </si>
  <si>
    <t>asteroidctypemineablerock_corundum.xml</t>
  </si>
  <si>
    <t>asteroidctypemineablerock_iron.xml</t>
  </si>
  <si>
    <t>asteroidctypemineablerock_quartz.xml</t>
  </si>
  <si>
    <t>asteroidctypemineablerock_silicon.xml</t>
  </si>
  <si>
    <t>asteroidctypemineablerock_test.xml</t>
  </si>
  <si>
    <t>asteroidctypemineablerock_tin.xml</t>
  </si>
  <si>
    <t>asteroidctypemineablerock_titanium.xml</t>
  </si>
  <si>
    <t>asteroidctypemineablerock_tungsten.xml</t>
  </si>
  <si>
    <t>asteroidstypemineablerock.xml</t>
  </si>
  <si>
    <t>asteroidstypemineablerock_aluminium.xml</t>
  </si>
  <si>
    <t>asteroidstypemineablerock_copper.xml</t>
  </si>
  <si>
    <t>asteroidstypemineablerock_corundum.xml</t>
  </si>
  <si>
    <t>asteroidstypemineablerock_iron.xml</t>
  </si>
  <si>
    <t>asteroidstypemineablerock_quartz.xml</t>
  </si>
  <si>
    <t>asteroidstypemineablerock_silicon.xml</t>
  </si>
  <si>
    <t>asteroidstypemineablerock_test.xml</t>
  </si>
  <si>
    <t>asteroidstypemineablerock_tin.xml</t>
  </si>
  <si>
    <t>asteroidstypemineablerock_titanium.xml</t>
  </si>
  <si>
    <t>asteroidstypemineablerock_tungsten.xml</t>
  </si>
  <si>
    <t>asteroidptypemineablerock.xml</t>
  </si>
  <si>
    <t>asteroidptypemineablerock_aluminium.xml</t>
  </si>
  <si>
    <t>asteroidptypemineablerock_copper.xml</t>
  </si>
  <si>
    <t>asteroidptypemineablerock_corundum.xml</t>
  </si>
  <si>
    <t>asteroidptypemineablerock_iron.xml</t>
  </si>
  <si>
    <t>asteroidptypemineablerock_quartz.xml</t>
  </si>
  <si>
    <t>asteroidptypemineablerock_silicon.xml</t>
  </si>
  <si>
    <t>asteroidptypemineablerock_test.xml</t>
  </si>
  <si>
    <t>asteroidptypemineablerock_tin.xml</t>
  </si>
  <si>
    <t>asteroidptypemineablerock_titanium.xml</t>
  </si>
  <si>
    <t>asteroidptypemineablerock_tungsten.xml</t>
  </si>
  <si>
    <t>asteroidmtypemineablerock.xml</t>
  </si>
  <si>
    <t>asteroidmtypemineablerock_aluminium.xml</t>
  </si>
  <si>
    <t>asteroidmtypemineablerock_copper.xml</t>
  </si>
  <si>
    <t>asteroidmtypemineablerock_corundum.xml</t>
  </si>
  <si>
    <t>asteroidmtypemineablerock_iron.xml</t>
  </si>
  <si>
    <t>asteroidmtypemineablerock_quartz.xml</t>
  </si>
  <si>
    <t>asteroidmtypemineablerock_silicon.xml</t>
  </si>
  <si>
    <t>asteroidmtypemineablerock_test.xml</t>
  </si>
  <si>
    <t>asteroidmtypemineablerock_tin.xml</t>
  </si>
  <si>
    <t>asteroidmtypemineablerock_titanium.xml</t>
  </si>
  <si>
    <t>asteroidmtypemineablerock_tungsten.xml</t>
  </si>
  <si>
    <t>asteroidqtypemineablerock.xml</t>
  </si>
  <si>
    <t>asteroidqtypemineablerock_aluminium.xml</t>
  </si>
  <si>
    <t>asteroidqtypemineablerock_copper.xml</t>
  </si>
  <si>
    <t>asteroidqtypemineablerock_corundum.xml</t>
  </si>
  <si>
    <t>asteroidqtypemineablerock_iron.xml</t>
  </si>
  <si>
    <t>asteroidqtypemineablerock_quartz.xml</t>
  </si>
  <si>
    <t>asteroidqtypemineablerock_silicon.xml</t>
  </si>
  <si>
    <t>asteroidqtypemineablerock_test.xml</t>
  </si>
  <si>
    <t>asteroidqtypemineablerock_tin.xml</t>
  </si>
  <si>
    <t>asteroidqtypemineablerock_titanium.xml</t>
  </si>
  <si>
    <t>asteroidqtypemineablerock_tungsten.xml</t>
  </si>
  <si>
    <t>asteroidetypemineablerock.xml</t>
  </si>
  <si>
    <t>asteroidetypemineablerock_aluminium.xml</t>
  </si>
  <si>
    <t>asteroidetypemineablerock_copper.xml</t>
  </si>
  <si>
    <t>asteroidetypemineablerock_corundum.xml</t>
  </si>
  <si>
    <t>asteroidetypemineablerock_iron.xml</t>
  </si>
  <si>
    <t>asteroidetypemineablerock_quartz.xml</t>
  </si>
  <si>
    <t>asteroidetypemineablerock_silicon.xml</t>
  </si>
  <si>
    <t>asteroidetypemineablerock_test.xml</t>
  </si>
  <si>
    <t>asteroidetypemineablerock_tin.xml</t>
  </si>
  <si>
    <t>asteroidetypemineablerock_titanium.xml</t>
  </si>
  <si>
    <t>asteroidetypemineablerock_tungsten.xml</t>
  </si>
  <si>
    <t>FileName</t>
  </si>
  <si>
    <t>Signature</t>
  </si>
  <si>
    <t>Patch</t>
  </si>
  <si>
    <t>System</t>
  </si>
  <si>
    <t>Body</t>
  </si>
  <si>
    <t>Affix</t>
  </si>
  <si>
    <t>Regolith Code</t>
  </si>
  <si>
    <t>STANTON</t>
  </si>
  <si>
    <t>AARON HALO</t>
  </si>
  <si>
    <t>Belt</t>
  </si>
  <si>
    <t>AARON_HALO</t>
  </si>
  <si>
    <t>HURSTON</t>
  </si>
  <si>
    <t>Aberdeen</t>
  </si>
  <si>
    <t>ABE</t>
  </si>
  <si>
    <t>PYRO</t>
  </si>
  <si>
    <t>PYRO 4</t>
  </si>
  <si>
    <t>Adios</t>
  </si>
  <si>
    <t>ADI</t>
  </si>
  <si>
    <t>ARCCORP</t>
  </si>
  <si>
    <t>Arc-L1</t>
  </si>
  <si>
    <t>ARC-L1</t>
  </si>
  <si>
    <t>Arc-L2</t>
  </si>
  <si>
    <t>ARC-L2</t>
  </si>
  <si>
    <t>Arc-L3</t>
  </si>
  <si>
    <t>ARC-L3</t>
  </si>
  <si>
    <t>Arc-L4</t>
  </si>
  <si>
    <t>ARC-L4</t>
  </si>
  <si>
    <t>Arc-L5</t>
  </si>
  <si>
    <t>ARC-L5</t>
  </si>
  <si>
    <t>Ariel</t>
  </si>
  <si>
    <t>ARI</t>
  </si>
  <si>
    <t>BGR-560</t>
  </si>
  <si>
    <t>PYRO 5</t>
  </si>
  <si>
    <t>Bloom</t>
  </si>
  <si>
    <t>BLO</t>
  </si>
  <si>
    <t>MICROTECH</t>
  </si>
  <si>
    <t>Calliope</t>
  </si>
  <si>
    <t>CAL</t>
  </si>
  <si>
    <t>CRUSADER</t>
  </si>
  <si>
    <t>Cellin</t>
  </si>
  <si>
    <t>CEL</t>
  </si>
  <si>
    <t>Clio</t>
  </si>
  <si>
    <t>CLI</t>
  </si>
  <si>
    <t>CRU-L1</t>
  </si>
  <si>
    <t>CRU-L4</t>
  </si>
  <si>
    <t>Daymar</t>
  </si>
  <si>
    <t>DAY</t>
  </si>
  <si>
    <t>DLO-486</t>
  </si>
  <si>
    <t>Euterpe</t>
  </si>
  <si>
    <t>EUT</t>
  </si>
  <si>
    <t>Faith</t>
  </si>
  <si>
    <t>FAI</t>
  </si>
  <si>
    <t>Fuego</t>
  </si>
  <si>
    <t>FUE</t>
  </si>
  <si>
    <t>MINING BASE</t>
  </si>
  <si>
    <t>Glacium</t>
  </si>
  <si>
    <t>GLACIUM</t>
  </si>
  <si>
    <t>Hur</t>
  </si>
  <si>
    <t>HUR</t>
  </si>
  <si>
    <t>HUR-L1</t>
  </si>
  <si>
    <t>HUR-L2</t>
  </si>
  <si>
    <t>HUR-L3</t>
  </si>
  <si>
    <t>HUR-L4</t>
  </si>
  <si>
    <t>HUR-L5</t>
  </si>
  <si>
    <t>PYRO 2</t>
  </si>
  <si>
    <t>Ignis</t>
  </si>
  <si>
    <t>IGN</t>
  </si>
  <si>
    <t>Ita</t>
  </si>
  <si>
    <t>ITA</t>
  </si>
  <si>
    <t>JWY-925</t>
  </si>
  <si>
    <t>KKE-717</t>
  </si>
  <si>
    <t>LHB-976</t>
  </si>
  <si>
    <t>Lyria</t>
  </si>
  <si>
    <t>LYR</t>
  </si>
  <si>
    <t>Magda</t>
  </si>
  <si>
    <t>MAG</t>
  </si>
  <si>
    <t>Mic</t>
  </si>
  <si>
    <t>MIC</t>
  </si>
  <si>
    <t>MIC-L1</t>
  </si>
  <si>
    <t>MIC-L2</t>
  </si>
  <si>
    <t>MIC-L3</t>
  </si>
  <si>
    <t>MIC-L4</t>
  </si>
  <si>
    <t>MIC-L5</t>
  </si>
  <si>
    <t>Monolith</t>
  </si>
  <si>
    <t>MON</t>
  </si>
  <si>
    <t>NBD-102</t>
  </si>
  <si>
    <t>PYRO 1</t>
  </si>
  <si>
    <t>PY1</t>
  </si>
  <si>
    <t>PY4</t>
  </si>
  <si>
    <t>PY4_BELT</t>
  </si>
  <si>
    <t>PYR2L4</t>
  </si>
  <si>
    <t>RAB-ALPHA</t>
  </si>
  <si>
    <t>RAB-BRAVO</t>
  </si>
  <si>
    <t>RAB-CHARLIE</t>
  </si>
  <si>
    <t>RAB-COOK</t>
  </si>
  <si>
    <t>RAB-DELTA</t>
  </si>
  <si>
    <t>RAB-ECHO</t>
  </si>
  <si>
    <t>RAB-FOXTROT</t>
  </si>
  <si>
    <t>RAB-GULF</t>
  </si>
  <si>
    <t>RAB-HELIO</t>
  </si>
  <si>
    <t>RMB-NIGH</t>
  </si>
  <si>
    <t>RAB-IGNITION</t>
  </si>
  <si>
    <t>RAB-ION</t>
  </si>
  <si>
    <t>RAB-JAK</t>
  </si>
  <si>
    <t>RAB-KILO</t>
  </si>
  <si>
    <t>RAB-LAMDA</t>
  </si>
  <si>
    <t>RAB-LYNX</t>
  </si>
  <si>
    <t>RAB-MAT</t>
  </si>
  <si>
    <t>RAB-NOVEMBER</t>
  </si>
  <si>
    <t>RAB-OVER</t>
  </si>
  <si>
    <t>RAB-POINT</t>
  </si>
  <si>
    <t>RAB-QUAGMIRE</t>
  </si>
  <si>
    <t>RAB-ROTH</t>
  </si>
  <si>
    <t>RAB-SIERRA</t>
  </si>
  <si>
    <t>RAB-TUNG</t>
  </si>
  <si>
    <t>RAB-ULTRA</t>
  </si>
  <si>
    <t>RAB-VICTORY</t>
  </si>
  <si>
    <t>RAB-WHISKEY</t>
  </si>
  <si>
    <t>RAB-XENO</t>
  </si>
  <si>
    <t>RAB-YORK</t>
  </si>
  <si>
    <t>RAB-ZETA</t>
  </si>
  <si>
    <t>RMB-AXIL</t>
  </si>
  <si>
    <t>RMB-BORS</t>
  </si>
  <si>
    <t>RMB-BUCK</t>
  </si>
  <si>
    <t>RMB-CEDI</t>
  </si>
  <si>
    <t>RMB-CRUE</t>
  </si>
  <si>
    <t>RMB-DARI</t>
  </si>
  <si>
    <t>RMB-DIRK</t>
  </si>
  <si>
    <t>RMB-DREG</t>
  </si>
  <si>
    <t>RMB-ELMS</t>
  </si>
  <si>
    <t>RMB-EVEN</t>
  </si>
  <si>
    <t>RMB-FLAG</t>
  </si>
  <si>
    <t>RMB-GRAY</t>
  </si>
  <si>
    <t>RMB-GREX</t>
  </si>
  <si>
    <t>RMB-HARK</t>
  </si>
  <si>
    <t>RMB-HELM</t>
  </si>
  <si>
    <t>RMB-HORN</t>
  </si>
  <si>
    <t>RMB-IKAN</t>
  </si>
  <si>
    <t>RMB-ION</t>
  </si>
  <si>
    <t>RMB-JADE</t>
  </si>
  <si>
    <t>RMB-JONG</t>
  </si>
  <si>
    <t>RMB-KELT</t>
  </si>
  <si>
    <t>RMB-KIFF</t>
  </si>
  <si>
    <t>RMB-KNAP</t>
  </si>
  <si>
    <t>RMB-KYUS</t>
  </si>
  <si>
    <t>RMB-LANX</t>
  </si>
  <si>
    <t>RMB-LAZO</t>
  </si>
  <si>
    <t>RMB-LOWN</t>
  </si>
  <si>
    <t>RMB-LUNE</t>
  </si>
  <si>
    <t>RMB-MARA</t>
  </si>
  <si>
    <t>RMB-MEFF</t>
  </si>
  <si>
    <t>RMB-MOSK</t>
  </si>
  <si>
    <t>RMB-MUGG</t>
  </si>
  <si>
    <t>RMB-NAIN</t>
  </si>
  <si>
    <t>RMB-NARY</t>
  </si>
  <si>
    <t>RMB-NENE</t>
  </si>
  <si>
    <t>RMB-ONER</t>
  </si>
  <si>
    <t>RMB-OXID</t>
  </si>
  <si>
    <t>RMB-PEKE</t>
  </si>
  <si>
    <t>RMB-PIZE</t>
  </si>
  <si>
    <t>RMB-PLEX</t>
  </si>
  <si>
    <t>RMB-PURI</t>
  </si>
  <si>
    <t>RMB-QINS</t>
  </si>
  <si>
    <t>RMB-RAIK</t>
  </si>
  <si>
    <t>RMB-RAWN</t>
  </si>
  <si>
    <t>RMB-RINE</t>
  </si>
  <si>
    <t>RMB-SEER</t>
  </si>
  <si>
    <t>RMB-SHEW</t>
  </si>
  <si>
    <t>RMB-SIJO</t>
  </si>
  <si>
    <t>RMB-SOWL</t>
  </si>
  <si>
    <t>RMB-SURD</t>
  </si>
  <si>
    <t>RMB-TYRO</t>
  </si>
  <si>
    <t>RMB-UMUS</t>
  </si>
  <si>
    <t>RMB-VERD</t>
  </si>
  <si>
    <t>RMB-VOES</t>
  </si>
  <si>
    <t>RMB-YEAD</t>
  </si>
  <si>
    <t>RMB-ZARF</t>
  </si>
  <si>
    <t>RSC-340</t>
  </si>
  <si>
    <t>ST-01K-I43</t>
  </si>
  <si>
    <t>ST-0YX-07Z</t>
  </si>
  <si>
    <t>ST-1XA-3GI</t>
  </si>
  <si>
    <t>ST-365-YNZ</t>
  </si>
  <si>
    <t>ST-4PI-3YY</t>
  </si>
  <si>
    <t>ST-4R0-NVX</t>
  </si>
  <si>
    <t>ST-51F-OGH</t>
  </si>
  <si>
    <t>ST-5U5-TLC</t>
  </si>
  <si>
    <t>ST-6IN-PO2</t>
  </si>
  <si>
    <t>ST-74H-2DO</t>
  </si>
  <si>
    <t>ST-7IQ-29Q</t>
  </si>
  <si>
    <t>ST-7LI-0OA</t>
  </si>
  <si>
    <t>ST-7YH-JX7</t>
  </si>
  <si>
    <t>ST-8CG-OSA</t>
  </si>
  <si>
    <t>ST-8PV-WNE</t>
  </si>
  <si>
    <t>ST-A73-HTJ</t>
  </si>
  <si>
    <t>ST-AL5-XPD</t>
  </si>
  <si>
    <t>ST-BBR-4JQ</t>
  </si>
  <si>
    <t>ST-BRE-582</t>
  </si>
  <si>
    <t>ST-BSK-IJ5</t>
  </si>
  <si>
    <t>ST-CVF-T6H</t>
  </si>
  <si>
    <t>ST-CZW-RRY</t>
  </si>
  <si>
    <t>ST-E38-S5G</t>
  </si>
  <si>
    <t>ST-G04-CH0</t>
  </si>
  <si>
    <t>ST-IGB-FXW</t>
  </si>
  <si>
    <t>ST-IO3-H1F</t>
  </si>
  <si>
    <t>ST-JUG-0KZ</t>
  </si>
  <si>
    <t>ST-LBP-UN5</t>
  </si>
  <si>
    <t>ST-N6J-XKH</t>
  </si>
  <si>
    <t>ST-ODD-E9B</t>
  </si>
  <si>
    <t>ST-OYV-JKE</t>
  </si>
  <si>
    <t>ST-Q4U-I20</t>
  </si>
  <si>
    <t>ST-Q9Q-090</t>
  </si>
  <si>
    <t>ST-QXS-NBS</t>
  </si>
  <si>
    <t>ST-R08-Y3K</t>
  </si>
  <si>
    <t>ST-R75-5PZ</t>
  </si>
  <si>
    <t>ST-R7J-WJ7</t>
  </si>
  <si>
    <t>ST-RCD-0B3</t>
  </si>
  <si>
    <t>ST-RSV-8HL</t>
  </si>
  <si>
    <t>ST-SAG-2UN</t>
  </si>
  <si>
    <t>ST-U5X-NGQ</t>
  </si>
  <si>
    <t>ST-UDK-IJX</t>
  </si>
  <si>
    <t>ST-URB-H3V</t>
  </si>
  <si>
    <t>ST-UU6-1EI</t>
  </si>
  <si>
    <t>ST-W79-2H7</t>
  </si>
  <si>
    <t>ST-WUO-ZRU</t>
  </si>
  <si>
    <t>ST-X92-IVA</t>
  </si>
  <si>
    <t>ST-XJZ-JR2</t>
  </si>
  <si>
    <t>ST-YTO-GLQ</t>
  </si>
  <si>
    <t>ST-Z48-013</t>
  </si>
  <si>
    <t>Terra</t>
  </si>
  <si>
    <t>TER</t>
  </si>
  <si>
    <t>TER_BELT</t>
  </si>
  <si>
    <t>Vat</t>
  </si>
  <si>
    <t>VAT</t>
  </si>
  <si>
    <t>Vuu</t>
  </si>
  <si>
    <t>VUU</t>
  </si>
  <si>
    <t>Wala</t>
  </si>
  <si>
    <t>WAL</t>
  </si>
  <si>
    <t>Yela</t>
  </si>
  <si>
    <t>YEL</t>
  </si>
  <si>
    <t>Yela Belt</t>
  </si>
  <si>
    <t>YELB</t>
  </si>
  <si>
    <t>NYX</t>
  </si>
  <si>
    <t>DELAMAR</t>
  </si>
  <si>
    <t>Gladsheim</t>
  </si>
  <si>
    <t>GLAD</t>
  </si>
  <si>
    <t xml:space="preserve">GLACIEAN BELT </t>
  </si>
  <si>
    <t xml:space="preserve">Belt </t>
  </si>
  <si>
    <t>GLAC</t>
  </si>
  <si>
    <t>KEEGER BELT</t>
  </si>
  <si>
    <t>KEEG</t>
  </si>
  <si>
    <t>Material Name</t>
  </si>
  <si>
    <t>Category</t>
  </si>
  <si>
    <t>Base Value (aUEC)</t>
  </si>
  <si>
    <t>Savrilium</t>
  </si>
  <si>
    <t>High Yield</t>
  </si>
  <si>
    <t>Quantanium</t>
  </si>
  <si>
    <t>Unstable</t>
  </si>
  <si>
    <t>Stileron</t>
  </si>
  <si>
    <t>Riccite</t>
  </si>
  <si>
    <t>Mineral</t>
  </si>
  <si>
    <t>Lindinium</t>
  </si>
  <si>
    <t>Gold</t>
  </si>
  <si>
    <t>Metal</t>
  </si>
  <si>
    <t>Bexalite</t>
  </si>
  <si>
    <t>Borase</t>
  </si>
  <si>
    <t>Taranite</t>
  </si>
  <si>
    <t>Beryl</t>
  </si>
  <si>
    <t>Tungsten</t>
  </si>
  <si>
    <t>Agricium</t>
  </si>
  <si>
    <t>Titanium</t>
  </si>
  <si>
    <t>Laranite</t>
  </si>
  <si>
    <t>Diamond</t>
  </si>
  <si>
    <t>Torite</t>
  </si>
  <si>
    <t>Ice</t>
  </si>
  <si>
    <t>Non-Metal</t>
  </si>
  <si>
    <t>Hephaestanite</t>
  </si>
  <si>
    <t>Quartz</t>
  </si>
  <si>
    <t>Copper</t>
  </si>
  <si>
    <t>Aluminum</t>
  </si>
  <si>
    <t>Tin</t>
  </si>
  <si>
    <t>Corundum</t>
  </si>
  <si>
    <t>Iron</t>
  </si>
  <si>
    <t>Silicon</t>
  </si>
  <si>
    <t>Janalite</t>
  </si>
  <si>
    <t>Gem</t>
  </si>
  <si>
    <t>Hadanite</t>
  </si>
  <si>
    <t>Feynmaline</t>
  </si>
  <si>
    <t>Beradom</t>
  </si>
  <si>
    <t>Dolivine</t>
  </si>
  <si>
    <t>Glacosite</t>
  </si>
  <si>
    <t>Aphorite</t>
  </si>
  <si>
    <t>Recy. Material Composite</t>
  </si>
  <si>
    <t>Salvage</t>
  </si>
  <si>
    <t>Const. Materials</t>
  </si>
  <si>
    <t>Aslarite</t>
  </si>
  <si>
    <t>Timestamp</t>
  </si>
  <si>
    <t>Pilot Name</t>
  </si>
  <si>
    <t>Location</t>
  </si>
  <si>
    <t>Raw Signature</t>
  </si>
  <si>
    <t>GUI Prediction</t>
  </si>
  <si>
    <t>Found Ore</t>
  </si>
  <si>
    <t xml:space="preserve"> </t>
  </si>
  <si>
    <t>TroublemaikerInc</t>
  </si>
  <si>
    <t xml:space="preserve">NYX - GLACIEAN BELT  - Belt </t>
  </si>
  <si>
    <t>None</t>
  </si>
  <si>
    <t>Troublemakerinc</t>
  </si>
  <si>
    <t>STANTON - HURSTON - Aberdeen</t>
  </si>
  <si>
    <t>TalonNerevar</t>
  </si>
  <si>
    <t>STANTON - CRUSADER - Yela Belt</t>
  </si>
  <si>
    <t>1x Ouratite</t>
  </si>
  <si>
    <t>4x Copper</t>
  </si>
  <si>
    <t>1x Copper</t>
  </si>
  <si>
    <t>3x Titanium</t>
  </si>
  <si>
    <t>4x Ice</t>
  </si>
  <si>
    <t>4x Iron</t>
  </si>
  <si>
    <t>5x Copper</t>
  </si>
  <si>
    <t>4x Titanium</t>
  </si>
  <si>
    <t>5x Titanium</t>
  </si>
  <si>
    <t>4x Template | 3x Testmineablerockmodeltags</t>
  </si>
  <si>
    <t>Unknown</t>
  </si>
  <si>
    <t>6x Copper</t>
  </si>
  <si>
    <t>6x Iron</t>
  </si>
  <si>
    <t>2x Template</t>
  </si>
  <si>
    <t>2x Ouratite</t>
  </si>
  <si>
    <t>5x Ice</t>
  </si>
  <si>
    <t>4x Testmineablerockmodeltags | 5x Savrilium</t>
  </si>
  <si>
    <t>2x Testmineablerockmodeltags</t>
  </si>
  <si>
    <t>3x Ouratite</t>
  </si>
  <si>
    <t>13x Debris</t>
  </si>
  <si>
    <t>2x Tungsten | 4x Debris</t>
  </si>
  <si>
    <t>2x Titanium</t>
  </si>
  <si>
    <t>STANTON - CRUSADER - Yela</t>
  </si>
  <si>
    <t>20x Template | 15x Tungsten | 30x Debris</t>
  </si>
  <si>
    <t>12x Template | 9x Tungsten | 10x Bexalite | 18x Debris</t>
  </si>
  <si>
    <t>18x Template | 15x Bexalite | 27x Debris</t>
  </si>
  <si>
    <t>13x Tungsten | 26x Debris</t>
  </si>
  <si>
    <t>16x Saldyniumsmall | 12x Tungsten | 15x Savrilium | 24x Debris</t>
  </si>
  <si>
    <t>1x Quantainium</t>
  </si>
  <si>
    <t>16x Tungsten | 20x Savrilium | 32x Debris</t>
  </si>
  <si>
    <t>19x Saldynium | 12x Tungsten</t>
  </si>
  <si>
    <t>4x Silicon</t>
  </si>
  <si>
    <t>20x Saldynium | 15x Tungsten | 30x Debris</t>
  </si>
  <si>
    <t>4x Quartz</t>
  </si>
  <si>
    <t>2x Taranite</t>
  </si>
  <si>
    <t>20x Tungsten | 25x Savrilium | 40x Debris</t>
  </si>
  <si>
    <t>3x Agricium</t>
  </si>
  <si>
    <t>19x Tungsten | 16x Tungsten | 38x Debris</t>
  </si>
  <si>
    <t>12x Saldynium | 9x Tungsten | 10x Bexalite | 18x Debris</t>
  </si>
  <si>
    <t>STANTON - ARCCORP - Wala</t>
  </si>
  <si>
    <t>14x Tungsten | 28x Debris</t>
  </si>
  <si>
    <t>3x Laranite</t>
  </si>
  <si>
    <t>32x Debris | 20x Savrilium | 16x Glacosite</t>
  </si>
  <si>
    <t>30x Debris | 20x Saldynium | 15x Glacosite</t>
  </si>
  <si>
    <t>27x Debris | 18x Saldynium | 15x Bexalite</t>
  </si>
  <si>
    <t>15x Saldynium</t>
  </si>
  <si>
    <t>17x Saldynium | 15x Lindinium</t>
  </si>
  <si>
    <t>15x Debris | 10x Saldynium</t>
  </si>
  <si>
    <t>4x Laranite</t>
  </si>
  <si>
    <t>21x Debris | 14x Saldynium</t>
  </si>
  <si>
    <t>3x Beryl</t>
  </si>
  <si>
    <t>13x Saldynium | 10x Torite</t>
  </si>
  <si>
    <t>Jenner_Darr</t>
  </si>
  <si>
    <t>24x Debris | 16x Saldynium | 15x Savrilium | 12x Glacosite</t>
  </si>
  <si>
    <t>11x Saldynium</t>
  </si>
  <si>
    <t>36x Debris | 24x Saldynium | 20x Bexalite | 18x Glacosite</t>
  </si>
  <si>
    <t>40x Debris | 25x Savrilium | 20x Glacosite</t>
  </si>
  <si>
    <t>amez9674</t>
  </si>
  <si>
    <t>STANTON - CRUSADER - Daymar</t>
  </si>
  <si>
    <t>Tankergeebs</t>
  </si>
  <si>
    <t>STANTON - AARON HALO - Belt</t>
  </si>
  <si>
    <t>STANTON - MICROTECH - Euterpe</t>
  </si>
  <si>
    <t>STANTON - CRUSADER - CRU-L4</t>
  </si>
  <si>
    <t>3x Gold</t>
  </si>
  <si>
    <t>STANTON - ARCCORP - Arc-L5</t>
  </si>
  <si>
    <t>6x Savrilium | 5x Aslarite</t>
  </si>
  <si>
    <t>2x Gold</t>
  </si>
  <si>
    <t>STANTON - CRUSADER - Cellin</t>
  </si>
  <si>
    <t>Dansec</t>
  </si>
  <si>
    <t>5x Aluminum</t>
  </si>
  <si>
    <t>2x Beryl</t>
  </si>
  <si>
    <t>42x Debris | 28x Saldynium | 21x Glacosite</t>
  </si>
  <si>
    <t>STANTON - HURSTON - HUR-L4</t>
  </si>
  <si>
    <t>4x Hephaestanite</t>
  </si>
  <si>
    <t>4x Aluminum</t>
  </si>
  <si>
    <t>5x Hephaestanite</t>
  </si>
  <si>
    <t>STANTON - CRUSADER - CRU-L1</t>
  </si>
  <si>
    <t>PYRO - PYRO 4 - Select Site</t>
  </si>
  <si>
    <t>PYRO - PYRO 2 - Select Site</t>
  </si>
  <si>
    <t xml:space="preserve">NYX - KEEGER BELT - Belt </t>
  </si>
  <si>
    <t>3x Lindinium</t>
  </si>
  <si>
    <t>3x Ice</t>
  </si>
  <si>
    <t>2x Bexalite</t>
  </si>
  <si>
    <t>3x Bexalite</t>
  </si>
  <si>
    <t>3x Aluminum</t>
  </si>
  <si>
    <t>3x Torite</t>
  </si>
  <si>
    <t>1x Savrilium</t>
  </si>
  <si>
    <t>STANTON - ARCCORP - Arc-L1</t>
  </si>
  <si>
    <t>STANTON - MICROTECH - MIC-L1</t>
  </si>
  <si>
    <t>STANTON - HURSTON - HUR-L3</t>
  </si>
  <si>
    <t>5x Iron</t>
  </si>
  <si>
    <t>4x Torite</t>
  </si>
  <si>
    <t>PYRO - MINING BASE - Select Site</t>
  </si>
  <si>
    <t>4x Tin</t>
  </si>
  <si>
    <t>PYRO - MINING  - RAB-KNAP</t>
  </si>
  <si>
    <t>3x Riccite</t>
  </si>
  <si>
    <t>SteelWickerbeast</t>
  </si>
  <si>
    <t>4x Beryl | 3x Tungsten</t>
  </si>
  <si>
    <t>STANTON - MICROTECH - Mic</t>
  </si>
  <si>
    <t>3x Aslarite</t>
  </si>
  <si>
    <t>PYRO - PYRO 4 - PY4</t>
  </si>
  <si>
    <t>3x Borase</t>
  </si>
  <si>
    <t>PYRO - MINING BASE - RMB-NIGH</t>
  </si>
  <si>
    <t>6x Tin</t>
  </si>
  <si>
    <t>4x Taranite</t>
  </si>
  <si>
    <t>6x Corundum</t>
  </si>
  <si>
    <t>3x Tungsten</t>
  </si>
  <si>
    <t>4x Aslarite</t>
  </si>
  <si>
    <t>2x Quantainium</t>
  </si>
  <si>
    <t>Total Pings</t>
  </si>
  <si>
    <t>STANTON - AARON HALO - Select Site</t>
  </si>
  <si>
    <t>PYRO - MINING w - Select Site</t>
  </si>
  <si>
    <t>COUNTA of Found 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</si>
</sst>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0" fontId="3" numFmtId="164" xfId="0" applyFont="1" applyNumberFormat="1"/>
    <xf borderId="0" fillId="0" fontId="3" numFmtId="3" xfId="0" applyFont="1" applyNumberFormat="1"/>
    <xf borderId="0" fillId="0" fontId="3" numFmtId="0" xfId="0" applyAlignment="1" applyFont="1">
      <alignment readingOrder="0"/>
    </xf>
    <xf borderId="0" fillId="0" fontId="3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A997" sheet="LEDGER"/>
  </cacheSource>
  <cacheFields>
    <cacheField name="Timestamp" numFmtId="164">
      <sharedItems containsDate="1" containsString="0" containsBlank="1">
        <d v="2026-04-08T01:43:55Z"/>
        <d v="2026-04-08T16:14:03Z"/>
        <d v="2026-04-08T16:33:22Z"/>
        <d v="2026-04-08T16:34:57Z"/>
        <d v="2026-04-08T19:02:51Z"/>
        <d v="2026-04-08T21:25:12Z"/>
        <d v="2026-04-08T21:25:56Z"/>
        <d v="2026-04-09T13:23:08Z"/>
        <d v="2026-04-09T13:25:51Z"/>
        <d v="2026-04-25T14:36:47Z"/>
        <d v="2026-04-25T14:37:58Z"/>
        <d v="2026-04-25T14:38:36Z"/>
        <d v="2026-04-25T14:39:44Z"/>
        <d v="2026-04-25T14:40:31Z"/>
        <d v="2026-04-25T14:41:05Z"/>
        <d v="2026-04-25T14:41:42Z"/>
        <d v="2026-04-25T14:42:46Z"/>
        <d v="2026-04-25T14:43:11Z"/>
        <d v="2026-04-25T14:43:32Z"/>
        <d v="2026-04-25T14:44:26Z"/>
        <d v="2026-04-25T14:44:50Z"/>
        <d v="2026-04-25T14:45:55Z"/>
        <d v="2026-04-25T14:46:22Z"/>
        <d v="2026-04-25T14:47:59Z"/>
        <d v="2026-04-25T14:48:25Z"/>
        <d v="2026-04-25T14:49:10Z"/>
        <d v="2026-04-25T14:49:28Z"/>
        <d v="2026-04-25T14:50:07Z"/>
        <d v="2026-04-25T14:50:48Z"/>
        <d v="2026-04-25T14:52:06Z"/>
        <d v="2026-04-25T14:56:14Z"/>
        <d v="2026-04-25T14:57:20Z"/>
        <d v="2026-04-25T14:58:19Z"/>
        <d v="2026-04-25T14:59:59Z"/>
        <d v="2026-04-25T15:00:17Z"/>
        <d v="2026-04-25T15:00:55Z"/>
        <d v="2026-04-25T15:04:16Z"/>
        <d v="2026-04-25T15:05:21Z"/>
        <d v="2026-04-25T15:05:52Z"/>
        <d v="2026-04-25T15:06:34Z"/>
        <d v="2026-04-25T15:09:15Z"/>
        <d v="2026-04-25T15:12:04Z"/>
        <d v="2026-04-25T15:14:15Z"/>
        <d v="2026-04-25T15:17:05Z"/>
        <d v="2026-04-25T15:19:35Z"/>
        <d v="2026-04-25T15:21:30Z"/>
        <d v="2026-04-25T15:24:04Z"/>
        <d v="2026-04-25T15:25:34Z"/>
        <d v="2026-04-25T15:26:35Z"/>
        <d v="2026-04-25T15:27:14Z"/>
        <d v="2026-04-25T15:27:58Z"/>
        <d v="2026-04-25T15:28:34Z"/>
        <d v="2026-04-25T15:29:32Z"/>
        <d v="2026-04-25T15:30:55Z"/>
        <d v="2026-04-25T15:32:56Z"/>
        <d v="2026-04-25T15:33:15Z"/>
        <d v="2026-04-25T15:34:47Z"/>
        <d v="2026-04-25T15:35:22Z"/>
        <d v="2026-04-25T15:35:37Z"/>
        <d v="2026-04-25T15:35:58Z"/>
        <d v="2026-04-25T15:37:24Z"/>
        <d v="2026-04-25T15:45:16Z"/>
        <d v="2026-04-25T15:45:53Z"/>
        <d v="2026-04-25T15:46:42Z"/>
        <d v="2026-04-25T15:47:04Z"/>
        <d v="2026-04-25T15:48:30Z"/>
        <d v="2026-04-25T15:49:05Z"/>
        <d v="2026-04-25T15:49:37Z"/>
        <d v="2026-04-25T15:54:42Z"/>
        <d v="2026-04-25T15:55:21Z"/>
        <d v="2026-04-25T15:55:54Z"/>
        <d v="2026-04-25T15:56:42Z"/>
        <d v="2026-04-25T15:57:23Z"/>
        <d v="2026-04-25T15:58:02Z"/>
        <d v="2026-04-25T15:58:49Z"/>
        <d v="2026-04-25T15:59:26Z"/>
        <d v="2026-04-25T16:00:10Z"/>
        <d v="2026-04-25T16:03:23Z"/>
        <d v="2026-04-25T16:03:34Z"/>
        <d v="2026-04-25T16:05:56Z"/>
        <d v="2026-04-25T16:06:08Z"/>
        <d v="2026-04-25T16:09:07Z"/>
        <d v="2026-04-25T16:13:09Z"/>
        <d v="2026-04-25T16:16:26Z"/>
        <d v="2026-04-25T17:10:13Z"/>
        <d v="2026-04-25T17:13:18Z"/>
        <d v="2026-04-25T17:15:12Z"/>
        <d v="2026-04-25T17:15:32Z"/>
        <d v="2026-04-25T17:16:25Z"/>
        <d v="2026-04-25T17:37:57Z"/>
        <d v="2026-04-25T17:56:41Z"/>
        <d v="2026-04-25T17:57:51Z"/>
        <d v="2026-04-25T17:59:15Z"/>
        <d v="2026-04-25T18:03:40Z"/>
        <d v="2026-04-25T18:04:26Z"/>
        <d v="2026-04-26T09:52:44Z"/>
        <d v="2026-04-26T19:27:52Z"/>
        <d v="2026-04-26T19:28:36Z"/>
        <d v="2026-04-26T20:06:54Z"/>
        <d v="2026-04-26T20:07:59Z"/>
        <d v="2026-04-26T21:30:33Z"/>
        <d v="2026-04-26T21:31:45Z"/>
        <d v="2026-04-27T18:39:52Z"/>
        <d v="2026-04-27T21:58:16Z"/>
        <d v="2026-04-27T22:21:22Z"/>
        <d v="2026-04-27T22:23:00Z"/>
        <d v="2026-04-27T22:50:18Z"/>
        <d v="2026-04-27T23:13:23Z"/>
        <d v="2026-04-27T23:15:39Z"/>
        <d v="2026-04-27T23:16:19Z"/>
        <d v="2026-04-27T23:18:07Z"/>
        <d v="2026-04-27T23:20:43Z"/>
        <d v="2026-04-27T23:21:23Z"/>
        <d v="2026-04-27T23:24:05Z"/>
        <d v="2026-04-28T04:19:22Z"/>
        <d v="2026-04-28T04:43:27Z"/>
        <d v="2026-04-28T04:50:28Z"/>
        <d v="2026-04-29T20:02:52Z"/>
        <d v="2026-04-30T23:34:59Z"/>
        <d v="2026-04-30T23:49:26Z"/>
        <d v="2026-04-30T23:57:57Z"/>
        <d v="2026-05-01T00:10:05Z"/>
        <d v="2026-05-01T00:13:16Z"/>
        <d v="2026-05-01T23:16:24Z"/>
        <d v="2026-05-02T15:03:44Z"/>
        <d v="2026-05-02T15:35:50Z"/>
        <d v="2026-05-05T18:44:54Z"/>
        <d v="2026-05-05T23:11:56Z"/>
        <d v="2026-05-05T23:13:43Z"/>
        <d v="2026-05-05T23:15:56Z"/>
        <d v="2026-05-05T23:19:14Z"/>
        <d v="2026-05-05T23:22:23Z"/>
        <d v="2026-05-05T23:24:10Z"/>
        <d v="2026-05-07T20:07:10Z"/>
        <d v="2026-05-07T20:19:37Z"/>
        <d v="2026-05-10T23:40:49Z"/>
        <d v="2026-05-11T00:18:41Z"/>
        <d v="2026-05-11T00:22:09Z"/>
        <d v="2026-05-11T00:40:41Z"/>
        <d v="2026-05-11T00:41:36Z"/>
        <d v="2026-05-17T23:19:31Z"/>
        <d v="2026-05-18T20:22:13Z"/>
        <d v="2026-05-18T20:39:43Z"/>
        <d v="2026-05-18T20:42:26Z"/>
        <d v="2026-05-28T18:46:22Z"/>
        <d v="2026-05-28T18:49:46Z"/>
        <d v="2026-05-28T19:12:28Z"/>
        <d v="2026-05-29T03:00:18Z"/>
        <d v="2026-05-29T03:26:20Z"/>
        <d v="2026-05-31T17:56:40Z"/>
        <d v="2026-05-31T20:37:50Z"/>
        <d v="2026-05-31T20:39:56Z"/>
        <d v="2026-06-06T19:31:20Z"/>
        <d v="2026-06-06T19:50:20Z"/>
        <d v="2026-06-07T23:47:30Z"/>
        <d v="2026-06-09T17:17:25Z"/>
        <d v="2026-06-09T20:06:40Z"/>
        <d v="2026-06-11T19:25:44Z"/>
        <d v="2026-06-11T19:28:55Z"/>
        <d v="2026-06-11T19:48:26Z"/>
        <d v="2026-06-11T19:53:10Z"/>
        <d v="2026-06-11T23:23:26Z"/>
        <d v="2026-06-12T21:00:32Z"/>
        <d v="2026-06-12T21:10:35Z"/>
        <d v="2026-06-12T21:26:24Z"/>
        <d v="2026-06-12T21:39:55Z"/>
        <d v="2026-06-12T22:56:42Z"/>
        <d v="2026-06-13T00:05:22Z"/>
        <m/>
      </sharedItems>
    </cacheField>
    <cacheField name="Pilot Name" numFmtId="0">
      <sharedItems containsBlank="1">
        <s v="TroublemaikerInc"/>
        <s v="Troublemakerinc"/>
        <s v="TalonNerevar"/>
        <s v="Jenner_Darr"/>
        <s v="amez9674"/>
        <s v="Tankergeebs"/>
        <s v="Dansec"/>
        <s v="SteelWickerbeast"/>
        <m/>
      </sharedItems>
    </cacheField>
    <cacheField name="Location" numFmtId="0">
      <sharedItems containsBlank="1">
        <s v="NYX - GLACIEAN BELT  - Belt "/>
        <s v="STANTON - HURSTON - Aberdeen"/>
        <s v="STANTON - CRUSADER - Yela Belt"/>
        <s v="STANTON - CRUSADER - Yela"/>
        <s v="STANTON - ARCCORP - Wala"/>
        <s v="STANTON - CRUSADER - Daymar"/>
        <s v="STANTON - AARON HALO - Belt"/>
        <s v="STANTON - MICROTECH - Euterpe"/>
        <s v="STANTON - CRUSADER - CRU-L4"/>
        <s v="STANTON - ARCCORP - Arc-L5"/>
        <s v="STANTON - CRUSADER - Cellin"/>
        <s v="STANTON - HURSTON - HUR-L4"/>
        <s v="STANTON - CRUSADER - CRU-L1"/>
        <s v="PYRO - PYRO 4 - Select Site"/>
        <s v="PYRO - PYRO 2 - Select Site"/>
        <s v="NYX - KEEGER BELT - Belt "/>
        <s v="STANTON - ARCCORP - Arc-L1"/>
        <s v="STANTON - MICROTECH - MIC-L1"/>
        <s v="STANTON - HURSTON - HUR-L3"/>
        <s v="PYRO - MINING BASE - Select Site"/>
        <s v="PYRO - MINING  - RAB-KNAP"/>
        <s v="STANTON - MICROTECH - Mic"/>
        <s v="PYRO - PYRO 4 - PY4"/>
        <s v="PYRO - MINING BASE - RMB-NIGH"/>
        <m/>
      </sharedItems>
    </cacheField>
    <cacheField name="Regolith Code" numFmtId="0">
      <sharedItems containsBlank="1">
        <s v="GLAC"/>
        <s v="ABE"/>
        <s v="YELB"/>
        <s v="YEL"/>
        <s v="WAL"/>
        <s v="DAY"/>
        <s v="AARON_HALO"/>
        <s v="EUT"/>
        <s v="CRU-L4"/>
        <s v="ARC-L5"/>
        <s v="CEL"/>
        <s v="HUR-L4"/>
        <s v="CRU-L1"/>
        <s v="PY1"/>
        <s v="KEEG"/>
        <s v="ARC-L1"/>
        <s v="MIC-L1"/>
        <s v="HUR-L3"/>
        <s v="MIC"/>
        <s v="PY4"/>
        <s v="RMB-NIGH"/>
        <m/>
      </sharedItems>
    </cacheField>
    <cacheField name="Raw Signature" numFmtId="0">
      <sharedItems containsString="0" containsBlank="1" containsNumber="1" containsInteger="1">
        <n v="6400.0"/>
        <n v="15420.0"/>
        <n v="17140.0"/>
        <n v="11565.0"/>
        <n v="3370.0"/>
        <n v="3170.0"/>
        <n v="17080.0"/>
        <n v="3200.0"/>
        <n v="16960.0"/>
        <n v="4240.0"/>
        <n v="17200.0"/>
        <n v="21200.0"/>
        <n v="19275.0"/>
        <n v="12000.0"/>
        <n v="10000.0"/>
        <n v="25440.0"/>
        <n v="25620.0"/>
        <n v="6000.0"/>
        <n v="6740.0"/>
        <n v="21500.0"/>
        <n v="16000.0"/>
        <n v="8000.0"/>
        <n v="2000.0"/>
        <n v="10110.0"/>
        <n v="26000.0"/>
        <n v="7710.0"/>
        <n v="60000.0"/>
        <n v="36000.0"/>
        <n v="54000.0"/>
        <n v="52000.0"/>
        <n v="48000.0"/>
        <n v="64000.0"/>
        <n v="57000.0"/>
        <n v="17020.0"/>
        <n v="16840.0"/>
        <n v="7110.0"/>
        <n v="80000.0"/>
        <n v="11655.0"/>
        <n v="76000.0"/>
        <n v="56000.0"/>
        <n v="11475.0"/>
        <n v="45000.0"/>
        <n v="51000.0"/>
        <n v="30000.0"/>
        <n v="15300.0"/>
        <n v="42000.0"/>
        <n v="10620.0"/>
        <n v="39000.0"/>
        <n v="33000.0"/>
        <n v="72000.0"/>
        <m/>
        <n v="7080.0"/>
        <n v="11520.0"/>
        <n v="10755.0"/>
        <n v="19200.0"/>
        <n v="7170.0"/>
        <n v="21425.0"/>
        <n v="84000.0"/>
        <n v="16720.0"/>
        <n v="20900.0"/>
        <n v="1700.0"/>
        <n v="4000.0"/>
        <n v="62000.0"/>
        <n v="10200.0"/>
        <n v="12900.0"/>
        <n v="7200.0"/>
        <n v="10800.0"/>
        <n v="12855.0"/>
        <n v="11700.0"/>
        <n v="25530.0"/>
        <n v="21350.0"/>
        <n v="15600.0"/>
        <n v="16780.0"/>
        <n v="10155.0"/>
        <n v="14160.0"/>
        <n v="28660.0"/>
        <n v="10710.0"/>
        <n v="25170.0"/>
        <n v="14220.0"/>
        <n v="25350.0"/>
        <n v="11610.0"/>
        <n v="15360.0"/>
        <n v="6340.0"/>
      </sharedItems>
    </cacheField>
    <cacheField name="GUI Prediction" numFmtId="0">
      <sharedItems containsBlank="1">
        <s v="None"/>
        <s v="1x Ouratite"/>
        <s v="4x Copper"/>
        <s v="1x Copper"/>
        <s v="3x Titanium"/>
        <s v="4x Ice"/>
        <s v="4x Iron"/>
        <s v="5x Copper"/>
        <s v="4x Titanium"/>
        <s v="5x Titanium"/>
        <s v="4x Template | 3x Testmineablerockmodeltags"/>
        <s v="Unknown"/>
        <s v="6x Copper"/>
        <s v="6x Iron"/>
        <s v="2x Template"/>
        <s v="2x Ouratite"/>
        <s v="5x Ice"/>
        <s v="4x Testmineablerockmodeltags | 5x Savrilium"/>
        <s v="2x Testmineablerockmodeltags"/>
        <s v="3x Ouratite"/>
        <s v="13x Debris"/>
        <s v="2x Tungsten | 4x Debris"/>
        <s v="2x Titanium"/>
        <s v="20x Template | 15x Tungsten | 30x Debris"/>
        <s v="12x Template | 9x Tungsten | 10x Bexalite | 18x Debris"/>
        <s v="18x Template | 15x Bexalite | 27x Debris"/>
        <s v="13x Tungsten | 26x Debris"/>
        <s v="16x Saldyniumsmall | 12x Tungsten | 15x Savrilium | 24x Debris"/>
        <s v="1x Quantainium"/>
        <s v="16x Tungsten | 20x Savrilium | 32x Debris"/>
        <s v="19x Saldynium | 12x Tungsten"/>
        <s v="4x Silicon"/>
        <s v="20x Saldynium | 15x Tungsten | 30x Debris"/>
        <s v="4x Quartz"/>
        <s v="2x Taranite"/>
        <s v="20x Tungsten | 25x Savrilium | 40x Debris"/>
        <s v="3x Agricium"/>
        <s v="19x Tungsten | 16x Tungsten | 38x Debris"/>
        <s v="12x Saldynium | 9x Tungsten | 10x Bexalite | 18x Debris"/>
        <s v="14x Tungsten | 28x Debris"/>
        <s v="3x Laranite"/>
        <s v="32x Debris | 20x Savrilium | 16x Glacosite"/>
        <s v="30x Debris | 20x Saldynium | 15x Glacosite"/>
        <s v="27x Debris | 18x Saldynium | 15x Bexalite"/>
        <s v="15x Saldynium"/>
        <s v="17x Saldynium | 15x Lindinium"/>
        <s v="15x Debris | 10x Saldynium"/>
        <s v="4x Laranite"/>
        <s v="21x Debris | 14x Saldynium"/>
        <s v="3x Beryl"/>
        <s v="13x Saldynium | 10x Torite"/>
        <s v="24x Debris | 16x Saldynium | 15x Savrilium | 12x Glacosite"/>
        <s v="11x Saldynium"/>
        <s v="36x Debris | 24x Saldynium | 20x Bexalite | 18x Glacosite"/>
        <s v="40x Debris | 25x Savrilium | 20x Glacosite"/>
        <s v="3x Gold"/>
        <s v="6x Savrilium | 5x Aslarite"/>
        <s v="2x Gold"/>
        <s v="5x Aluminum"/>
        <s v="2x Beryl"/>
        <s v="42x Debris | 28x Saldynium | 21x Glacosite"/>
        <s v="4x Hephaestanite"/>
        <s v="4x Aluminum"/>
        <s v="5x Hephaestanite"/>
        <s v="3x Lindinium"/>
        <s v="3x Ice"/>
        <s v="2x Bexalite"/>
        <s v="3x Bexalite"/>
        <s v="3x Aluminum"/>
        <s v="3x Torite"/>
        <s v="1x Savrilium"/>
        <s v="5x Iron"/>
        <s v="4x Torite"/>
        <s v="4x Tin"/>
        <s v="3x Riccite"/>
        <s v="4x Beryl | 3x Tungsten"/>
        <s v="3x Aslarite"/>
        <s v="3x Borase"/>
        <s v="6x Tin"/>
        <s v="4x Taranite"/>
        <s v="6x Corundum"/>
        <s v="3x Tungsten"/>
        <s v="4x Aslarite"/>
        <s v="2x Quantainium"/>
        <m/>
      </sharedItems>
    </cacheField>
    <cacheField name="Found Ore" numFmtId="0">
      <sharedItems containsBlank="1">
        <s v="Savrilium"/>
        <s v="Titanium"/>
        <s v="Aluminum"/>
        <s v="Ouratite"/>
        <s v="Quantanium"/>
        <s v="Iron"/>
        <s v="Copper"/>
        <s v="Ice"/>
        <s v="Recy. Material Composite"/>
        <s v="Dolivine"/>
        <s v="Aphorite"/>
        <s v="Beradom"/>
        <s v="Glacosite"/>
        <s v="Silicon"/>
        <s v="Quartz"/>
        <s v="Taranite"/>
        <s v="Agricium"/>
        <s v="Laranite"/>
        <s v="Feynmaline"/>
        <s v="Beryl"/>
        <s v="Janalite"/>
        <s v="Aslarite"/>
        <s v="Gold"/>
        <s v="Hephaestanite"/>
        <s v="Lindinium"/>
        <s v="Bexalite"/>
        <s v="Torite"/>
        <s v="Tin"/>
        <s v="Riccite"/>
        <s v="Borase"/>
        <s v="Corundum"/>
        <s v="Tungsten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  <cacheField name=" 16" numFmtId="0">
      <sharedItems containsString="0" containsBlank="1">
        <m/>
      </sharedItems>
    </cacheField>
    <cacheField name=" 17" numFmtId="0">
      <sharedItems containsString="0" containsBlank="1">
        <m/>
      </sharedItems>
    </cacheField>
    <cacheField name=" 18" numFmtId="0">
      <sharedItems containsString="0" containsBlank="1">
        <m/>
      </sharedItems>
    </cacheField>
    <cacheField name=" 19" numFmtId="0">
      <sharedItems containsString="0" containsBlank="1">
        <m/>
      </sharedItems>
    </cacheField>
    <cacheField name=" 20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HEAT_MAP" cacheId="0" dataCaption="" rowGrandTotals="0" colGrandTotals="0" compact="0" compactData="0">
  <location ref="A1:AG26" firstHeaderRow="0" firstDataRow="1" firstDataCol="1"/>
  <pivotFields>
    <pivotField name="Timestamp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t="default"/>
      </items>
    </pivotField>
    <pivotField name="Pilo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Location" axis="axisRow" compact="0" outline="0" multipleItemSelectionAllowed="1" showAll="0" sortType="ascending">
      <items>
        <item x="24"/>
        <item x="0"/>
        <item x="15"/>
        <item x="20"/>
        <item x="23"/>
        <item x="19"/>
        <item x="14"/>
        <item x="22"/>
        <item x="13"/>
        <item x="6"/>
        <item x="16"/>
        <item x="9"/>
        <item x="4"/>
        <item x="10"/>
        <item x="12"/>
        <item x="8"/>
        <item x="5"/>
        <item x="3"/>
        <item x="2"/>
        <item x="1"/>
        <item x="18"/>
        <item x="11"/>
        <item x="7"/>
        <item x="21"/>
        <item x="17"/>
        <item t="default"/>
      </items>
    </pivotField>
    <pivotField name="Regolith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Raw Signat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GUI Predic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Found Ore" axis="axisCol" dataField="1" compact="0" outline="0" multipleItemSelectionAllowed="1" showAll="0" sortType="ascending">
      <items>
        <item x="32"/>
        <item x="16"/>
        <item x="2"/>
        <item x="10"/>
        <item x="21"/>
        <item x="11"/>
        <item x="19"/>
        <item x="25"/>
        <item x="29"/>
        <item x="6"/>
        <item x="30"/>
        <item x="9"/>
        <item x="18"/>
        <item x="12"/>
        <item x="22"/>
        <item x="23"/>
        <item x="7"/>
        <item x="5"/>
        <item x="20"/>
        <item x="17"/>
        <item x="24"/>
        <item x="3"/>
        <item x="4"/>
        <item x="14"/>
        <item x="8"/>
        <item x="28"/>
        <item x="0"/>
        <item x="13"/>
        <item x="15"/>
        <item x="27"/>
        <item x="1"/>
        <item x="26"/>
        <item x="3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</pivotFields>
  <rowFields>
    <field x="2"/>
  </rowFields>
  <colFields>
    <field x="6"/>
  </colFields>
  <dataFields>
    <dataField name="COUNTA of Found Ore" fld="6" subtotal="count" showDataAs="percentOfRow" baseField="0" numFmtId="1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2">
        <v>2000.0</v>
      </c>
    </row>
    <row r="2">
      <c r="A2" s="3" t="s">
        <v>1</v>
      </c>
      <c r="B2" s="4">
        <v>3000.0</v>
      </c>
    </row>
    <row r="3">
      <c r="A3" s="3" t="s">
        <v>2</v>
      </c>
      <c r="B3" s="4">
        <v>3000.0</v>
      </c>
    </row>
    <row r="4">
      <c r="A4" s="3" t="s">
        <v>3</v>
      </c>
      <c r="B4" s="4">
        <v>3000.0</v>
      </c>
    </row>
    <row r="5">
      <c r="A5" s="3" t="s">
        <v>4</v>
      </c>
      <c r="B5" s="4">
        <v>3000.0</v>
      </c>
    </row>
    <row r="6">
      <c r="A6" s="1" t="s">
        <v>5</v>
      </c>
      <c r="B6" s="4">
        <v>3000.0</v>
      </c>
    </row>
    <row r="7">
      <c r="A7" s="3" t="s">
        <v>6</v>
      </c>
      <c r="B7" s="4">
        <v>3000.0</v>
      </c>
    </row>
    <row r="8">
      <c r="A8" s="3" t="s">
        <v>7</v>
      </c>
      <c r="B8" s="4">
        <v>3000.0</v>
      </c>
    </row>
    <row r="9">
      <c r="A9" s="3" t="s">
        <v>8</v>
      </c>
      <c r="B9" s="4">
        <v>3000.0</v>
      </c>
    </row>
    <row r="10">
      <c r="A10" s="3" t="s">
        <v>9</v>
      </c>
      <c r="B10" s="4">
        <v>3000.0</v>
      </c>
    </row>
    <row r="11">
      <c r="A11" s="1" t="s">
        <v>10</v>
      </c>
      <c r="B11" s="4">
        <v>3000.0</v>
      </c>
    </row>
    <row r="12">
      <c r="A12" s="3" t="s">
        <v>11</v>
      </c>
      <c r="B12" s="4">
        <v>3000.0</v>
      </c>
    </row>
    <row r="13">
      <c r="A13" s="3" t="s">
        <v>12</v>
      </c>
      <c r="B13" s="4">
        <v>3000.0</v>
      </c>
    </row>
    <row r="14">
      <c r="A14" s="1" t="s">
        <v>13</v>
      </c>
      <c r="B14" s="4">
        <v>3000.0</v>
      </c>
    </row>
    <row r="15">
      <c r="A15" s="3" t="s">
        <v>14</v>
      </c>
      <c r="B15" s="4">
        <v>3170.0</v>
      </c>
    </row>
    <row r="16">
      <c r="A16" s="3" t="s">
        <v>15</v>
      </c>
      <c r="B16" s="4">
        <v>3170.0</v>
      </c>
    </row>
    <row r="17">
      <c r="A17" s="3" t="s">
        <v>16</v>
      </c>
      <c r="B17" s="4">
        <v>3185.0</v>
      </c>
    </row>
    <row r="18">
      <c r="A18" s="3" t="s">
        <v>17</v>
      </c>
      <c r="B18" s="4">
        <v>3185.0</v>
      </c>
    </row>
    <row r="19">
      <c r="A19" s="3" t="s">
        <v>18</v>
      </c>
      <c r="B19" s="4">
        <v>3200.0</v>
      </c>
    </row>
    <row r="20">
      <c r="A20" s="3" t="s">
        <v>19</v>
      </c>
      <c r="B20" s="4">
        <v>3200.0</v>
      </c>
    </row>
    <row r="21">
      <c r="A21" s="3" t="s">
        <v>20</v>
      </c>
      <c r="B21" s="4">
        <v>3200.0</v>
      </c>
    </row>
    <row r="22">
      <c r="A22" s="3" t="s">
        <v>21</v>
      </c>
      <c r="B22" s="4">
        <v>3370.0</v>
      </c>
    </row>
    <row r="23">
      <c r="A23" s="3" t="s">
        <v>22</v>
      </c>
      <c r="B23" s="4">
        <v>3370.0</v>
      </c>
    </row>
    <row r="24">
      <c r="A24" s="5" t="s">
        <v>23</v>
      </c>
      <c r="B24" s="5">
        <v>3370.0</v>
      </c>
    </row>
    <row r="25">
      <c r="A25" s="3" t="s">
        <v>24</v>
      </c>
      <c r="B25" s="4">
        <v>3385.0</v>
      </c>
    </row>
    <row r="26">
      <c r="A26" s="3" t="s">
        <v>25</v>
      </c>
      <c r="B26" s="4">
        <v>3385.0</v>
      </c>
    </row>
    <row r="27">
      <c r="A27" s="3" t="s">
        <v>26</v>
      </c>
      <c r="B27" s="4">
        <v>3400.0</v>
      </c>
    </row>
    <row r="28">
      <c r="A28" s="3" t="s">
        <v>27</v>
      </c>
      <c r="B28" s="4">
        <v>3400.0</v>
      </c>
    </row>
    <row r="29">
      <c r="A29" s="3" t="s">
        <v>28</v>
      </c>
      <c r="B29" s="4">
        <v>3540.0</v>
      </c>
    </row>
    <row r="30">
      <c r="A30" s="3" t="s">
        <v>29</v>
      </c>
      <c r="B30" s="4">
        <v>3540.0</v>
      </c>
    </row>
    <row r="31">
      <c r="A31" s="3" t="s">
        <v>30</v>
      </c>
      <c r="B31" s="4">
        <v>3555.0</v>
      </c>
    </row>
    <row r="32">
      <c r="A32" s="3" t="s">
        <v>31</v>
      </c>
      <c r="B32" s="4">
        <v>3555.0</v>
      </c>
    </row>
    <row r="33">
      <c r="A33" s="3" t="s">
        <v>32</v>
      </c>
      <c r="B33" s="4">
        <v>3570.0</v>
      </c>
    </row>
    <row r="34">
      <c r="A34" s="3" t="s">
        <v>33</v>
      </c>
      <c r="B34" s="4">
        <v>3570.0</v>
      </c>
    </row>
    <row r="35">
      <c r="A35" s="3" t="s">
        <v>34</v>
      </c>
      <c r="B35" s="4">
        <v>3585.0</v>
      </c>
    </row>
    <row r="36">
      <c r="A36" s="3" t="s">
        <v>35</v>
      </c>
      <c r="B36" s="4">
        <v>3585.0</v>
      </c>
    </row>
    <row r="37">
      <c r="A37" s="3" t="s">
        <v>36</v>
      </c>
      <c r="B37" s="4">
        <v>3600.0</v>
      </c>
    </row>
    <row r="38">
      <c r="A38" s="3" t="s">
        <v>37</v>
      </c>
      <c r="B38" s="4">
        <v>3600.0</v>
      </c>
    </row>
    <row r="39">
      <c r="A39" s="3" t="s">
        <v>38</v>
      </c>
      <c r="B39" s="4">
        <v>3825.0</v>
      </c>
    </row>
    <row r="40">
      <c r="A40" s="3" t="s">
        <v>39</v>
      </c>
      <c r="B40" s="4">
        <v>3825.0</v>
      </c>
    </row>
    <row r="41">
      <c r="A41" s="3" t="s">
        <v>40</v>
      </c>
      <c r="B41" s="4">
        <v>3840.0</v>
      </c>
    </row>
    <row r="42">
      <c r="A42" s="3" t="s">
        <v>41</v>
      </c>
      <c r="B42" s="4">
        <v>3840.0</v>
      </c>
    </row>
    <row r="43">
      <c r="A43" s="3" t="s">
        <v>42</v>
      </c>
      <c r="B43" s="4">
        <v>3855.0</v>
      </c>
    </row>
    <row r="44">
      <c r="A44" s="3" t="s">
        <v>43</v>
      </c>
      <c r="B44" s="4">
        <v>3855.0</v>
      </c>
    </row>
    <row r="45">
      <c r="A45" s="3" t="s">
        <v>44</v>
      </c>
      <c r="B45" s="4">
        <v>3870.0</v>
      </c>
    </row>
    <row r="46">
      <c r="A46" s="3" t="s">
        <v>45</v>
      </c>
      <c r="B46" s="4">
        <v>3870.0</v>
      </c>
    </row>
    <row r="47">
      <c r="A47" s="3" t="s">
        <v>46</v>
      </c>
      <c r="B47" s="4">
        <v>3885.0</v>
      </c>
    </row>
    <row r="48">
      <c r="A48" s="3" t="s">
        <v>47</v>
      </c>
      <c r="B48" s="4">
        <v>3885.0</v>
      </c>
    </row>
    <row r="49">
      <c r="A49" s="3" t="s">
        <v>48</v>
      </c>
      <c r="B49" s="4">
        <v>3900.0</v>
      </c>
    </row>
    <row r="50">
      <c r="A50" s="3" t="s">
        <v>49</v>
      </c>
      <c r="B50" s="4">
        <v>3900.0</v>
      </c>
    </row>
    <row r="51">
      <c r="A51" s="3" t="s">
        <v>50</v>
      </c>
      <c r="B51" s="4">
        <v>3900.0</v>
      </c>
    </row>
    <row r="52">
      <c r="A52" s="3" t="s">
        <v>51</v>
      </c>
      <c r="B52" s="4">
        <v>4000.0</v>
      </c>
    </row>
    <row r="53">
      <c r="A53" s="3" t="s">
        <v>52</v>
      </c>
      <c r="B53" s="4">
        <v>4000.0</v>
      </c>
    </row>
    <row r="54">
      <c r="A54" s="3" t="s">
        <v>53</v>
      </c>
      <c r="B54" s="4">
        <v>4000.0</v>
      </c>
    </row>
    <row r="55">
      <c r="A55" s="3" t="s">
        <v>54</v>
      </c>
      <c r="B55" s="4">
        <v>4000.0</v>
      </c>
    </row>
    <row r="56">
      <c r="A56" s="3" t="s">
        <v>55</v>
      </c>
      <c r="B56" s="4">
        <v>4000.0</v>
      </c>
    </row>
    <row r="57">
      <c r="A57" s="3" t="s">
        <v>56</v>
      </c>
      <c r="B57" s="4">
        <v>4000.0</v>
      </c>
    </row>
    <row r="58">
      <c r="A58" s="3" t="s">
        <v>57</v>
      </c>
      <c r="B58" s="4">
        <v>4000.0</v>
      </c>
    </row>
    <row r="59">
      <c r="A59" s="3" t="s">
        <v>58</v>
      </c>
      <c r="B59" s="4">
        <v>4000.0</v>
      </c>
    </row>
    <row r="60">
      <c r="A60" s="3" t="s">
        <v>59</v>
      </c>
      <c r="B60" s="4">
        <v>4000.0</v>
      </c>
    </row>
    <row r="61">
      <c r="A61" s="3" t="s">
        <v>60</v>
      </c>
      <c r="B61" s="4">
        <v>4000.0</v>
      </c>
    </row>
    <row r="62">
      <c r="A62" s="3" t="s">
        <v>61</v>
      </c>
      <c r="B62" s="4">
        <v>4000.0</v>
      </c>
    </row>
    <row r="63">
      <c r="A63" s="3" t="s">
        <v>62</v>
      </c>
      <c r="B63" s="4">
        <v>4000.0</v>
      </c>
    </row>
    <row r="64">
      <c r="A64" s="3" t="s">
        <v>63</v>
      </c>
      <c r="B64" s="4">
        <v>4000.0</v>
      </c>
    </row>
    <row r="65">
      <c r="A65" s="3" t="s">
        <v>64</v>
      </c>
      <c r="B65" s="4">
        <v>4000.0</v>
      </c>
    </row>
    <row r="66">
      <c r="A66" s="3" t="s">
        <v>65</v>
      </c>
      <c r="B66" s="4">
        <v>4000.0</v>
      </c>
    </row>
    <row r="67">
      <c r="A67" s="3" t="s">
        <v>66</v>
      </c>
      <c r="B67" s="4">
        <v>4000.0</v>
      </c>
    </row>
    <row r="68">
      <c r="A68" s="3" t="s">
        <v>67</v>
      </c>
      <c r="B68" s="4">
        <v>4000.0</v>
      </c>
    </row>
    <row r="69">
      <c r="A69" s="3" t="s">
        <v>68</v>
      </c>
      <c r="B69" s="4">
        <v>4000.0</v>
      </c>
    </row>
    <row r="70">
      <c r="A70" s="3" t="s">
        <v>69</v>
      </c>
      <c r="B70" s="4">
        <v>4180.0</v>
      </c>
    </row>
    <row r="71">
      <c r="A71" s="3" t="s">
        <v>70</v>
      </c>
      <c r="B71" s="4">
        <v>4180.0</v>
      </c>
    </row>
    <row r="72">
      <c r="A72" s="3" t="s">
        <v>71</v>
      </c>
      <c r="B72" s="4">
        <v>4195.0</v>
      </c>
    </row>
    <row r="73">
      <c r="A73" s="3" t="s">
        <v>72</v>
      </c>
      <c r="B73" s="4">
        <v>4195.0</v>
      </c>
    </row>
    <row r="74">
      <c r="A74" s="3" t="s">
        <v>73</v>
      </c>
      <c r="B74" s="4">
        <v>4210.0</v>
      </c>
    </row>
    <row r="75">
      <c r="A75" s="3" t="s">
        <v>74</v>
      </c>
      <c r="B75" s="4">
        <v>4210.0</v>
      </c>
    </row>
    <row r="76">
      <c r="A76" s="3" t="s">
        <v>75</v>
      </c>
      <c r="B76" s="4">
        <v>4225.0</v>
      </c>
    </row>
    <row r="77">
      <c r="A77" s="3" t="s">
        <v>76</v>
      </c>
      <c r="B77" s="4">
        <v>4225.0</v>
      </c>
    </row>
    <row r="78">
      <c r="A78" s="3" t="s">
        <v>77</v>
      </c>
      <c r="B78" s="4">
        <v>4240.0</v>
      </c>
    </row>
    <row r="79">
      <c r="A79" s="3" t="s">
        <v>78</v>
      </c>
      <c r="B79" s="4">
        <v>4240.0</v>
      </c>
    </row>
    <row r="80">
      <c r="A80" s="3" t="s">
        <v>79</v>
      </c>
      <c r="B80" s="4">
        <v>4255.0</v>
      </c>
    </row>
    <row r="81">
      <c r="A81" s="3" t="s">
        <v>80</v>
      </c>
      <c r="B81" s="4">
        <v>4255.0</v>
      </c>
    </row>
    <row r="82">
      <c r="A82" s="3" t="s">
        <v>81</v>
      </c>
      <c r="B82" s="4">
        <v>4270.0</v>
      </c>
    </row>
    <row r="83">
      <c r="A83" s="3" t="s">
        <v>82</v>
      </c>
      <c r="B83" s="4">
        <v>4270.0</v>
      </c>
    </row>
    <row r="84">
      <c r="A84" s="3" t="s">
        <v>83</v>
      </c>
      <c r="B84" s="4">
        <v>4285.0</v>
      </c>
    </row>
    <row r="85">
      <c r="A85" s="3" t="s">
        <v>84</v>
      </c>
      <c r="B85" s="4">
        <v>4285.0</v>
      </c>
    </row>
    <row r="86">
      <c r="A86" s="3" t="s">
        <v>85</v>
      </c>
      <c r="B86" s="4">
        <v>4300.0</v>
      </c>
    </row>
    <row r="87">
      <c r="A87" s="3" t="s">
        <v>86</v>
      </c>
      <c r="B87" s="4">
        <v>4300.0</v>
      </c>
    </row>
    <row r="88">
      <c r="A88" s="3" t="s">
        <v>87</v>
      </c>
      <c r="B88" s="4">
        <v>4700.0</v>
      </c>
    </row>
    <row r="89">
      <c r="A89" s="3" t="s">
        <v>88</v>
      </c>
      <c r="B89" s="4">
        <v>4700.0</v>
      </c>
    </row>
    <row r="90">
      <c r="A90" s="3" t="s">
        <v>89</v>
      </c>
      <c r="B90" s="4">
        <v>4700.0</v>
      </c>
    </row>
    <row r="91">
      <c r="A91" s="3" t="s">
        <v>90</v>
      </c>
      <c r="B91" s="4">
        <v>4700.0</v>
      </c>
    </row>
    <row r="92">
      <c r="A92" s="3" t="s">
        <v>91</v>
      </c>
      <c r="B92" s="4">
        <v>4700.0</v>
      </c>
    </row>
    <row r="93">
      <c r="A93" s="3" t="s">
        <v>92</v>
      </c>
      <c r="B93" s="4">
        <v>4700.0</v>
      </c>
    </row>
    <row r="94">
      <c r="A94" s="3" t="s">
        <v>93</v>
      </c>
      <c r="B94" s="4">
        <v>4700.0</v>
      </c>
    </row>
    <row r="95">
      <c r="A95" s="3" t="s">
        <v>94</v>
      </c>
      <c r="B95" s="4">
        <v>4700.0</v>
      </c>
    </row>
    <row r="96">
      <c r="A96" s="3" t="s">
        <v>95</v>
      </c>
      <c r="B96" s="4">
        <v>4700.0</v>
      </c>
    </row>
    <row r="97">
      <c r="A97" s="3" t="s">
        <v>96</v>
      </c>
      <c r="B97" s="4">
        <v>4700.0</v>
      </c>
    </row>
    <row r="98">
      <c r="A98" s="3" t="s">
        <v>97</v>
      </c>
      <c r="B98" s="4">
        <v>4700.0</v>
      </c>
    </row>
    <row r="99">
      <c r="A99" s="3" t="s">
        <v>98</v>
      </c>
      <c r="B99" s="4">
        <v>4720.0</v>
      </c>
    </row>
    <row r="100">
      <c r="A100" s="3" t="s">
        <v>99</v>
      </c>
      <c r="B100" s="4">
        <v>4720.0</v>
      </c>
    </row>
    <row r="101">
      <c r="A101" s="3" t="s">
        <v>100</v>
      </c>
      <c r="B101" s="4">
        <v>4720.0</v>
      </c>
    </row>
    <row r="102">
      <c r="A102" s="3" t="s">
        <v>101</v>
      </c>
      <c r="B102" s="4">
        <v>4720.0</v>
      </c>
    </row>
    <row r="103">
      <c r="A103" s="3" t="s">
        <v>102</v>
      </c>
      <c r="B103" s="4">
        <v>4720.0</v>
      </c>
    </row>
    <row r="104">
      <c r="A104" s="3" t="s">
        <v>103</v>
      </c>
      <c r="B104" s="4">
        <v>4720.0</v>
      </c>
    </row>
    <row r="105">
      <c r="A105" s="3" t="s">
        <v>104</v>
      </c>
      <c r="B105" s="4">
        <v>4720.0</v>
      </c>
    </row>
    <row r="106">
      <c r="A106" s="3" t="s">
        <v>105</v>
      </c>
      <c r="B106" s="4">
        <v>4720.0</v>
      </c>
    </row>
    <row r="107">
      <c r="A107" s="3" t="s">
        <v>106</v>
      </c>
      <c r="B107" s="4">
        <v>4720.0</v>
      </c>
    </row>
    <row r="108">
      <c r="A108" s="3" t="s">
        <v>107</v>
      </c>
      <c r="B108" s="4">
        <v>4720.0</v>
      </c>
    </row>
    <row r="109">
      <c r="A109" s="3" t="s">
        <v>108</v>
      </c>
      <c r="B109" s="4">
        <v>4720.0</v>
      </c>
    </row>
    <row r="110">
      <c r="A110" s="3" t="s">
        <v>109</v>
      </c>
      <c r="B110" s="4">
        <v>4750.0</v>
      </c>
    </row>
    <row r="111">
      <c r="A111" s="3" t="s">
        <v>110</v>
      </c>
      <c r="B111" s="4">
        <v>4750.0</v>
      </c>
    </row>
    <row r="112">
      <c r="A112" s="3" t="s">
        <v>111</v>
      </c>
      <c r="B112" s="4">
        <v>4750.0</v>
      </c>
    </row>
    <row r="113">
      <c r="A113" s="3" t="s">
        <v>112</v>
      </c>
      <c r="B113" s="4">
        <v>4750.0</v>
      </c>
    </row>
    <row r="114">
      <c r="A114" s="3" t="s">
        <v>113</v>
      </c>
      <c r="B114" s="4">
        <v>4750.0</v>
      </c>
    </row>
    <row r="115">
      <c r="A115" s="3" t="s">
        <v>114</v>
      </c>
      <c r="B115" s="4">
        <v>4750.0</v>
      </c>
    </row>
    <row r="116">
      <c r="A116" s="3" t="s">
        <v>115</v>
      </c>
      <c r="B116" s="4">
        <v>4750.0</v>
      </c>
    </row>
    <row r="117">
      <c r="A117" s="3" t="s">
        <v>116</v>
      </c>
      <c r="B117" s="4">
        <v>4750.0</v>
      </c>
    </row>
    <row r="118">
      <c r="A118" s="3" t="s">
        <v>117</v>
      </c>
      <c r="B118" s="4">
        <v>4750.0</v>
      </c>
    </row>
    <row r="119">
      <c r="A119" s="3" t="s">
        <v>118</v>
      </c>
      <c r="B119" s="4">
        <v>4750.0</v>
      </c>
    </row>
    <row r="120">
      <c r="A120" s="3" t="s">
        <v>119</v>
      </c>
      <c r="B120" s="4">
        <v>4750.0</v>
      </c>
    </row>
    <row r="121">
      <c r="A121" s="3" t="s">
        <v>120</v>
      </c>
      <c r="B121" s="4">
        <v>4850.0</v>
      </c>
    </row>
    <row r="122">
      <c r="A122" s="3" t="s">
        <v>121</v>
      </c>
      <c r="B122" s="4">
        <v>4850.0</v>
      </c>
    </row>
    <row r="123">
      <c r="A123" s="3" t="s">
        <v>122</v>
      </c>
      <c r="B123" s="4">
        <v>4850.0</v>
      </c>
    </row>
    <row r="124">
      <c r="A124" s="3" t="s">
        <v>123</v>
      </c>
      <c r="B124" s="4">
        <v>4850.0</v>
      </c>
    </row>
    <row r="125">
      <c r="A125" s="3" t="s">
        <v>124</v>
      </c>
      <c r="B125" s="4">
        <v>4850.0</v>
      </c>
    </row>
    <row r="126">
      <c r="A126" s="3" t="s">
        <v>125</v>
      </c>
      <c r="B126" s="4">
        <v>4850.0</v>
      </c>
    </row>
    <row r="127">
      <c r="A127" s="3" t="s">
        <v>126</v>
      </c>
      <c r="B127" s="4">
        <v>4850.0</v>
      </c>
    </row>
    <row r="128">
      <c r="A128" s="3" t="s">
        <v>127</v>
      </c>
      <c r="B128" s="4">
        <v>4850.0</v>
      </c>
    </row>
    <row r="129">
      <c r="A129" s="3" t="s">
        <v>128</v>
      </c>
      <c r="B129" s="4">
        <v>4850.0</v>
      </c>
    </row>
    <row r="130">
      <c r="A130" s="3" t="s">
        <v>129</v>
      </c>
      <c r="B130" s="4">
        <v>4850.0</v>
      </c>
    </row>
    <row r="131">
      <c r="A131" s="3" t="s">
        <v>130</v>
      </c>
      <c r="B131" s="4">
        <v>4850.0</v>
      </c>
    </row>
    <row r="132">
      <c r="A132" s="3" t="s">
        <v>131</v>
      </c>
      <c r="B132" s="4">
        <v>4870.0</v>
      </c>
    </row>
    <row r="133">
      <c r="A133" s="3" t="s">
        <v>132</v>
      </c>
      <c r="B133" s="4">
        <v>4870.0</v>
      </c>
    </row>
    <row r="134">
      <c r="A134" s="3" t="s">
        <v>133</v>
      </c>
      <c r="B134" s="4">
        <v>4870.0</v>
      </c>
    </row>
    <row r="135">
      <c r="A135" s="3" t="s">
        <v>134</v>
      </c>
      <c r="B135" s="4">
        <v>4870.0</v>
      </c>
    </row>
    <row r="136">
      <c r="A136" s="3" t="s">
        <v>135</v>
      </c>
      <c r="B136" s="4">
        <v>4870.0</v>
      </c>
    </row>
    <row r="137">
      <c r="A137" s="3" t="s">
        <v>136</v>
      </c>
      <c r="B137" s="4">
        <v>4870.0</v>
      </c>
    </row>
    <row r="138">
      <c r="A138" s="3" t="s">
        <v>137</v>
      </c>
      <c r="B138" s="4">
        <v>4870.0</v>
      </c>
    </row>
    <row r="139">
      <c r="A139" s="3" t="s">
        <v>138</v>
      </c>
      <c r="B139" s="4">
        <v>4870.0</v>
      </c>
    </row>
    <row r="140">
      <c r="A140" s="3" t="s">
        <v>139</v>
      </c>
      <c r="B140" s="4">
        <v>4870.0</v>
      </c>
    </row>
    <row r="141">
      <c r="A141" s="3" t="s">
        <v>140</v>
      </c>
      <c r="B141" s="4">
        <v>4870.0</v>
      </c>
    </row>
    <row r="142">
      <c r="A142" s="3" t="s">
        <v>141</v>
      </c>
      <c r="B142" s="4">
        <v>4870.0</v>
      </c>
    </row>
    <row r="143">
      <c r="A143" s="3" t="s">
        <v>142</v>
      </c>
      <c r="B143" s="4">
        <v>4900.0</v>
      </c>
    </row>
    <row r="144">
      <c r="A144" s="3" t="s">
        <v>143</v>
      </c>
      <c r="B144" s="4">
        <v>4900.0</v>
      </c>
    </row>
    <row r="145">
      <c r="A145" s="3" t="s">
        <v>144</v>
      </c>
      <c r="B145" s="4">
        <v>4900.0</v>
      </c>
    </row>
    <row r="146">
      <c r="A146" s="3" t="s">
        <v>145</v>
      </c>
      <c r="B146" s="4">
        <v>4900.0</v>
      </c>
    </row>
    <row r="147">
      <c r="A147" s="3" t="s">
        <v>146</v>
      </c>
      <c r="B147" s="4">
        <v>4900.0</v>
      </c>
    </row>
    <row r="148">
      <c r="A148" s="3" t="s">
        <v>147</v>
      </c>
      <c r="B148" s="4">
        <v>4900.0</v>
      </c>
    </row>
    <row r="149">
      <c r="A149" s="3" t="s">
        <v>148</v>
      </c>
      <c r="B149" s="4">
        <v>4900.0</v>
      </c>
    </row>
    <row r="150">
      <c r="A150" s="3" t="s">
        <v>149</v>
      </c>
      <c r="B150" s="4">
        <v>4900.0</v>
      </c>
    </row>
    <row r="151">
      <c r="A151" s="3" t="s">
        <v>150</v>
      </c>
      <c r="B151" s="4">
        <v>4900.0</v>
      </c>
    </row>
    <row r="152">
      <c r="A152" s="3" t="s">
        <v>151</v>
      </c>
      <c r="B152" s="4">
        <v>4900.0</v>
      </c>
    </row>
    <row r="153">
      <c r="A153" s="3" t="s">
        <v>152</v>
      </c>
      <c r="B153" s="4">
        <v>4900.0</v>
      </c>
    </row>
    <row r="154">
      <c r="A154" s="3" t="s">
        <v>153</v>
      </c>
      <c r="B154" s="3" t="s">
        <v>154</v>
      </c>
      <c r="C154" s="5" t="s">
        <v>155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156</v>
      </c>
      <c r="B1" s="6" t="s">
        <v>157</v>
      </c>
      <c r="C1" s="6" t="s">
        <v>158</v>
      </c>
      <c r="D1" s="6" t="s">
        <v>159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160</v>
      </c>
      <c r="B2" s="6" t="s">
        <v>161</v>
      </c>
      <c r="C2" s="6" t="s">
        <v>162</v>
      </c>
      <c r="D2" s="6" t="s">
        <v>163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160</v>
      </c>
      <c r="B3" s="6" t="s">
        <v>164</v>
      </c>
      <c r="C3" s="6" t="s">
        <v>165</v>
      </c>
      <c r="D3" s="6" t="s">
        <v>166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 t="s">
        <v>167</v>
      </c>
      <c r="B4" s="6" t="s">
        <v>168</v>
      </c>
      <c r="C4" s="6" t="s">
        <v>169</v>
      </c>
      <c r="D4" s="6" t="s">
        <v>170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 t="s">
        <v>160</v>
      </c>
      <c r="B5" s="6" t="s">
        <v>171</v>
      </c>
      <c r="C5" s="6" t="s">
        <v>172</v>
      </c>
      <c r="D5" s="6" t="s">
        <v>173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 t="s">
        <v>160</v>
      </c>
      <c r="B6" s="6" t="s">
        <v>171</v>
      </c>
      <c r="C6" s="6" t="s">
        <v>174</v>
      </c>
      <c r="D6" s="6" t="s">
        <v>175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 t="s">
        <v>160</v>
      </c>
      <c r="B7" s="6" t="s">
        <v>171</v>
      </c>
      <c r="C7" s="6" t="s">
        <v>176</v>
      </c>
      <c r="D7" s="6" t="s">
        <v>177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160</v>
      </c>
      <c r="B8" s="6" t="s">
        <v>171</v>
      </c>
      <c r="C8" s="6" t="s">
        <v>178</v>
      </c>
      <c r="D8" s="6" t="s">
        <v>179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160</v>
      </c>
      <c r="B9" s="6" t="s">
        <v>171</v>
      </c>
      <c r="C9" s="6" t="s">
        <v>180</v>
      </c>
      <c r="D9" s="6" t="s">
        <v>181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160</v>
      </c>
      <c r="B10" s="6" t="s">
        <v>164</v>
      </c>
      <c r="C10" s="6" t="s">
        <v>182</v>
      </c>
      <c r="D10" s="6" t="s">
        <v>183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160</v>
      </c>
      <c r="B11" s="6" t="s">
        <v>161</v>
      </c>
      <c r="C11" s="6" t="s">
        <v>162</v>
      </c>
      <c r="D11" s="6" t="s">
        <v>184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 t="s">
        <v>167</v>
      </c>
      <c r="B12" s="6" t="s">
        <v>185</v>
      </c>
      <c r="C12" s="6" t="s">
        <v>186</v>
      </c>
      <c r="D12" s="6" t="s">
        <v>187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160</v>
      </c>
      <c r="B13" s="6" t="s">
        <v>188</v>
      </c>
      <c r="C13" s="6" t="s">
        <v>189</v>
      </c>
      <c r="D13" s="6" t="s">
        <v>190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160</v>
      </c>
      <c r="B14" s="6" t="s">
        <v>191</v>
      </c>
      <c r="C14" s="6" t="s">
        <v>192</v>
      </c>
      <c r="D14" s="6" t="s">
        <v>193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160</v>
      </c>
      <c r="B15" s="6" t="s">
        <v>188</v>
      </c>
      <c r="C15" s="6" t="s">
        <v>194</v>
      </c>
      <c r="D15" s="6" t="s">
        <v>195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160</v>
      </c>
      <c r="B16" s="6" t="s">
        <v>191</v>
      </c>
      <c r="C16" s="6" t="s">
        <v>196</v>
      </c>
      <c r="D16" s="6" t="s">
        <v>196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160</v>
      </c>
      <c r="B17" s="6" t="s">
        <v>191</v>
      </c>
      <c r="C17" s="6" t="s">
        <v>197</v>
      </c>
      <c r="D17" s="6" t="s">
        <v>197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160</v>
      </c>
      <c r="B18" s="6" t="s">
        <v>191</v>
      </c>
      <c r="C18" s="6" t="s">
        <v>198</v>
      </c>
      <c r="D18" s="6" t="s">
        <v>199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160</v>
      </c>
      <c r="B19" s="6" t="s">
        <v>161</v>
      </c>
      <c r="C19" s="6" t="s">
        <v>162</v>
      </c>
      <c r="D19" s="6" t="s">
        <v>200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160</v>
      </c>
      <c r="B20" s="6" t="s">
        <v>188</v>
      </c>
      <c r="C20" s="6" t="s">
        <v>201</v>
      </c>
      <c r="D20" s="6" t="s">
        <v>202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167</v>
      </c>
      <c r="B21" s="6" t="s">
        <v>185</v>
      </c>
      <c r="C21" s="6" t="s">
        <v>203</v>
      </c>
      <c r="D21" s="6" t="s">
        <v>204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167</v>
      </c>
      <c r="B22" s="6" t="s">
        <v>185</v>
      </c>
      <c r="C22" s="6" t="s">
        <v>205</v>
      </c>
      <c r="D22" s="6" t="s">
        <v>206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160</v>
      </c>
      <c r="B23" s="6" t="s">
        <v>207</v>
      </c>
      <c r="C23" s="6" t="s">
        <v>208</v>
      </c>
      <c r="D23" s="6" t="s">
        <v>209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160</v>
      </c>
      <c r="B24" s="6" t="s">
        <v>164</v>
      </c>
      <c r="C24" s="6" t="s">
        <v>210</v>
      </c>
      <c r="D24" s="6" t="s">
        <v>211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160</v>
      </c>
      <c r="B25" s="6" t="s">
        <v>164</v>
      </c>
      <c r="C25" s="6" t="s">
        <v>212</v>
      </c>
      <c r="D25" s="6" t="s">
        <v>212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 t="s">
        <v>160</v>
      </c>
      <c r="B26" s="6" t="s">
        <v>164</v>
      </c>
      <c r="C26" s="6" t="s">
        <v>213</v>
      </c>
      <c r="D26" s="6" t="s">
        <v>213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 t="s">
        <v>160</v>
      </c>
      <c r="B27" s="6" t="s">
        <v>164</v>
      </c>
      <c r="C27" s="6" t="s">
        <v>214</v>
      </c>
      <c r="D27" s="6" t="s">
        <v>214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 t="s">
        <v>160</v>
      </c>
      <c r="B28" s="6" t="s">
        <v>164</v>
      </c>
      <c r="C28" s="6" t="s">
        <v>215</v>
      </c>
      <c r="D28" s="6" t="s">
        <v>215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 t="s">
        <v>160</v>
      </c>
      <c r="B29" s="6" t="s">
        <v>164</v>
      </c>
      <c r="C29" s="6" t="s">
        <v>216</v>
      </c>
      <c r="D29" s="6" t="s">
        <v>216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 t="s">
        <v>167</v>
      </c>
      <c r="B30" s="6" t="s">
        <v>217</v>
      </c>
      <c r="C30" s="6" t="s">
        <v>218</v>
      </c>
      <c r="D30" s="6" t="s">
        <v>219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 t="s">
        <v>160</v>
      </c>
      <c r="B31" s="6" t="s">
        <v>164</v>
      </c>
      <c r="C31" s="6" t="s">
        <v>220</v>
      </c>
      <c r="D31" s="6" t="s">
        <v>221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 t="s">
        <v>160</v>
      </c>
      <c r="B32" s="6" t="s">
        <v>161</v>
      </c>
      <c r="C32" s="6" t="s">
        <v>162</v>
      </c>
      <c r="D32" s="6" t="s">
        <v>222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 t="s">
        <v>160</v>
      </c>
      <c r="B33" s="6" t="s">
        <v>161</v>
      </c>
      <c r="C33" s="6" t="s">
        <v>162</v>
      </c>
      <c r="D33" s="6" t="s">
        <v>223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 t="s">
        <v>160</v>
      </c>
      <c r="B34" s="6" t="s">
        <v>161</v>
      </c>
      <c r="C34" s="6" t="s">
        <v>162</v>
      </c>
      <c r="D34" s="6" t="s">
        <v>224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 t="s">
        <v>160</v>
      </c>
      <c r="B35" s="6" t="s">
        <v>171</v>
      </c>
      <c r="C35" s="6" t="s">
        <v>225</v>
      </c>
      <c r="D35" s="6" t="s">
        <v>226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 t="s">
        <v>160</v>
      </c>
      <c r="B36" s="6" t="s">
        <v>164</v>
      </c>
      <c r="C36" s="6" t="s">
        <v>227</v>
      </c>
      <c r="D36" s="6" t="s">
        <v>228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 t="s">
        <v>160</v>
      </c>
      <c r="B37" s="6" t="s">
        <v>188</v>
      </c>
      <c r="C37" s="6" t="s">
        <v>229</v>
      </c>
      <c r="D37" s="6" t="s">
        <v>230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 t="s">
        <v>160</v>
      </c>
      <c r="B38" s="6" t="s">
        <v>188</v>
      </c>
      <c r="C38" s="6" t="s">
        <v>231</v>
      </c>
      <c r="D38" s="6" t="s">
        <v>231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 t="s">
        <v>160</v>
      </c>
      <c r="B39" s="6" t="s">
        <v>188</v>
      </c>
      <c r="C39" s="6" t="s">
        <v>232</v>
      </c>
      <c r="D39" s="6" t="s">
        <v>232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 t="s">
        <v>160</v>
      </c>
      <c r="B40" s="6" t="s">
        <v>188</v>
      </c>
      <c r="C40" s="6" t="s">
        <v>233</v>
      </c>
      <c r="D40" s="6" t="s">
        <v>233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 t="s">
        <v>160</v>
      </c>
      <c r="B41" s="6" t="s">
        <v>188</v>
      </c>
      <c r="C41" s="6" t="s">
        <v>234</v>
      </c>
      <c r="D41" s="6" t="s">
        <v>234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 t="s">
        <v>160</v>
      </c>
      <c r="B42" s="6" t="s">
        <v>188</v>
      </c>
      <c r="C42" s="6" t="s">
        <v>235</v>
      </c>
      <c r="D42" s="6" t="s">
        <v>235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 t="s">
        <v>167</v>
      </c>
      <c r="B43" s="6" t="s">
        <v>217</v>
      </c>
      <c r="C43" s="6" t="s">
        <v>236</v>
      </c>
      <c r="D43" s="6" t="s">
        <v>237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 t="s">
        <v>160</v>
      </c>
      <c r="B44" s="6" t="s">
        <v>161</v>
      </c>
      <c r="C44" s="6" t="s">
        <v>162</v>
      </c>
      <c r="D44" s="6" t="s">
        <v>238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 t="s">
        <v>167</v>
      </c>
      <c r="B45" s="6" t="s">
        <v>239</v>
      </c>
      <c r="C45" s="6" t="s">
        <v>240</v>
      </c>
      <c r="D45" s="6" t="s">
        <v>240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 t="s">
        <v>167</v>
      </c>
      <c r="B46" s="6" t="s">
        <v>168</v>
      </c>
      <c r="C46" s="6" t="s">
        <v>241</v>
      </c>
      <c r="D46" s="6" t="s">
        <v>241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 t="s">
        <v>167</v>
      </c>
      <c r="B47" s="6" t="s">
        <v>168</v>
      </c>
      <c r="C47" s="6" t="s">
        <v>162</v>
      </c>
      <c r="D47" s="6" t="s">
        <v>242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 t="s">
        <v>167</v>
      </c>
      <c r="B48" s="6" t="s">
        <v>217</v>
      </c>
      <c r="C48" s="6" t="s">
        <v>243</v>
      </c>
      <c r="D48" s="6" t="s">
        <v>243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 t="s">
        <v>167</v>
      </c>
      <c r="B49" s="6" t="s">
        <v>207</v>
      </c>
      <c r="C49" s="6" t="s">
        <v>244</v>
      </c>
      <c r="D49" s="6" t="s">
        <v>244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 t="s">
        <v>167</v>
      </c>
      <c r="B50" s="6" t="s">
        <v>207</v>
      </c>
      <c r="C50" s="6" t="s">
        <v>245</v>
      </c>
      <c r="D50" s="6" t="s">
        <v>245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 t="s">
        <v>167</v>
      </c>
      <c r="B51" s="6" t="s">
        <v>207</v>
      </c>
      <c r="C51" s="6" t="s">
        <v>246</v>
      </c>
      <c r="D51" s="6" t="s">
        <v>246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 t="s">
        <v>167</v>
      </c>
      <c r="B52" s="6" t="s">
        <v>207</v>
      </c>
      <c r="C52" s="6" t="s">
        <v>247</v>
      </c>
      <c r="D52" s="6" t="s">
        <v>247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 t="s">
        <v>167</v>
      </c>
      <c r="B53" s="6" t="s">
        <v>207</v>
      </c>
      <c r="C53" s="6" t="s">
        <v>248</v>
      </c>
      <c r="D53" s="6" t="s">
        <v>248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 t="s">
        <v>167</v>
      </c>
      <c r="B54" s="6" t="s">
        <v>207</v>
      </c>
      <c r="C54" s="6" t="s">
        <v>249</v>
      </c>
      <c r="D54" s="6" t="s">
        <v>249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 t="s">
        <v>167</v>
      </c>
      <c r="B55" s="6" t="s">
        <v>207</v>
      </c>
      <c r="C55" s="6" t="s">
        <v>250</v>
      </c>
      <c r="D55" s="6" t="s">
        <v>250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 t="s">
        <v>167</v>
      </c>
      <c r="B56" s="6" t="s">
        <v>207</v>
      </c>
      <c r="C56" s="6" t="s">
        <v>251</v>
      </c>
      <c r="D56" s="6" t="s">
        <v>251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 t="s">
        <v>167</v>
      </c>
      <c r="B57" s="6" t="s">
        <v>207</v>
      </c>
      <c r="C57" s="6" t="s">
        <v>252</v>
      </c>
      <c r="D57" s="6" t="s">
        <v>252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7" t="s">
        <v>167</v>
      </c>
      <c r="B58" s="7" t="s">
        <v>207</v>
      </c>
      <c r="C58" s="7" t="s">
        <v>253</v>
      </c>
      <c r="D58" s="7" t="s">
        <v>253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 t="s">
        <v>167</v>
      </c>
      <c r="B59" s="6" t="s">
        <v>217</v>
      </c>
      <c r="C59" s="6" t="s">
        <v>162</v>
      </c>
      <c r="D59" s="6" t="s">
        <v>254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 t="s">
        <v>167</v>
      </c>
      <c r="B60" s="6" t="s">
        <v>207</v>
      </c>
      <c r="C60" s="6" t="s">
        <v>255</v>
      </c>
      <c r="D60" s="6" t="s">
        <v>255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 t="s">
        <v>167</v>
      </c>
      <c r="B61" s="6" t="s">
        <v>207</v>
      </c>
      <c r="C61" s="6" t="s">
        <v>256</v>
      </c>
      <c r="D61" s="6" t="s">
        <v>256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 t="s">
        <v>167</v>
      </c>
      <c r="B62" s="6" t="s">
        <v>207</v>
      </c>
      <c r="C62" s="6" t="s">
        <v>257</v>
      </c>
      <c r="D62" s="6" t="s">
        <v>257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 t="s">
        <v>167</v>
      </c>
      <c r="B63" s="6" t="s">
        <v>207</v>
      </c>
      <c r="C63" s="6" t="s">
        <v>258</v>
      </c>
      <c r="D63" s="6" t="s">
        <v>258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 t="s">
        <v>167</v>
      </c>
      <c r="B64" s="6" t="s">
        <v>207</v>
      </c>
      <c r="C64" s="6" t="s">
        <v>259</v>
      </c>
      <c r="D64" s="6" t="s">
        <v>259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 t="s">
        <v>167</v>
      </c>
      <c r="B65" s="6" t="s">
        <v>207</v>
      </c>
      <c r="C65" s="6" t="s">
        <v>260</v>
      </c>
      <c r="D65" s="6" t="s">
        <v>260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 t="s">
        <v>167</v>
      </c>
      <c r="B66" s="6" t="s">
        <v>207</v>
      </c>
      <c r="C66" s="6" t="s">
        <v>261</v>
      </c>
      <c r="D66" s="6" t="s">
        <v>261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 t="s">
        <v>167</v>
      </c>
      <c r="B67" s="6" t="s">
        <v>207</v>
      </c>
      <c r="C67" s="6" t="s">
        <v>262</v>
      </c>
      <c r="D67" s="6" t="s">
        <v>262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 t="s">
        <v>167</v>
      </c>
      <c r="B68" s="6" t="s">
        <v>207</v>
      </c>
      <c r="C68" s="6" t="s">
        <v>263</v>
      </c>
      <c r="D68" s="6" t="s">
        <v>263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 t="s">
        <v>167</v>
      </c>
      <c r="B69" s="6" t="s">
        <v>207</v>
      </c>
      <c r="C69" s="6" t="s">
        <v>264</v>
      </c>
      <c r="D69" s="6" t="s">
        <v>264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 t="s">
        <v>167</v>
      </c>
      <c r="B70" s="6" t="s">
        <v>207</v>
      </c>
      <c r="C70" s="6" t="s">
        <v>265</v>
      </c>
      <c r="D70" s="6" t="s">
        <v>265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 t="s">
        <v>167</v>
      </c>
      <c r="B71" s="6" t="s">
        <v>207</v>
      </c>
      <c r="C71" s="6" t="s">
        <v>266</v>
      </c>
      <c r="D71" s="6" t="s">
        <v>266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 t="s">
        <v>167</v>
      </c>
      <c r="B72" s="6" t="s">
        <v>207</v>
      </c>
      <c r="C72" s="6" t="s">
        <v>267</v>
      </c>
      <c r="D72" s="6" t="s">
        <v>267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 t="s">
        <v>167</v>
      </c>
      <c r="B73" s="6" t="s">
        <v>207</v>
      </c>
      <c r="C73" s="6" t="s">
        <v>268</v>
      </c>
      <c r="D73" s="6" t="s">
        <v>268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 t="s">
        <v>167</v>
      </c>
      <c r="B74" s="6" t="s">
        <v>207</v>
      </c>
      <c r="C74" s="6" t="s">
        <v>269</v>
      </c>
      <c r="D74" s="6" t="s">
        <v>269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 t="s">
        <v>167</v>
      </c>
      <c r="B75" s="6" t="s">
        <v>207</v>
      </c>
      <c r="C75" s="6" t="s">
        <v>270</v>
      </c>
      <c r="D75" s="6" t="s">
        <v>270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 t="s">
        <v>167</v>
      </c>
      <c r="B76" s="6" t="s">
        <v>207</v>
      </c>
      <c r="C76" s="6" t="s">
        <v>271</v>
      </c>
      <c r="D76" s="6" t="s">
        <v>271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 t="s">
        <v>167</v>
      </c>
      <c r="B77" s="6" t="s">
        <v>207</v>
      </c>
      <c r="C77" s="6" t="s">
        <v>272</v>
      </c>
      <c r="D77" s="6" t="s">
        <v>272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 t="s">
        <v>167</v>
      </c>
      <c r="B78" s="6" t="s">
        <v>207</v>
      </c>
      <c r="C78" s="6" t="s">
        <v>273</v>
      </c>
      <c r="D78" s="6" t="s">
        <v>273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 t="s">
        <v>160</v>
      </c>
      <c r="B79" s="6" t="s">
        <v>207</v>
      </c>
      <c r="C79" s="6" t="s">
        <v>274</v>
      </c>
      <c r="D79" s="6" t="s">
        <v>274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 t="s">
        <v>160</v>
      </c>
      <c r="B80" s="6" t="s">
        <v>207</v>
      </c>
      <c r="C80" s="6" t="s">
        <v>275</v>
      </c>
      <c r="D80" s="6" t="s">
        <v>275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 t="s">
        <v>160</v>
      </c>
      <c r="B81" s="6" t="s">
        <v>207</v>
      </c>
      <c r="C81" s="6" t="s">
        <v>276</v>
      </c>
      <c r="D81" s="6" t="s">
        <v>276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 t="s">
        <v>160</v>
      </c>
      <c r="B82" s="6" t="s">
        <v>207</v>
      </c>
      <c r="C82" s="6" t="s">
        <v>277</v>
      </c>
      <c r="D82" s="6" t="s">
        <v>277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 t="s">
        <v>160</v>
      </c>
      <c r="B83" s="6" t="s">
        <v>191</v>
      </c>
      <c r="C83" s="6" t="s">
        <v>278</v>
      </c>
      <c r="D83" s="6" t="s">
        <v>278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 t="s">
        <v>160</v>
      </c>
      <c r="B84" s="6" t="s">
        <v>164</v>
      </c>
      <c r="C84" s="6" t="s">
        <v>279</v>
      </c>
      <c r="D84" s="6" t="s">
        <v>279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 t="s">
        <v>160</v>
      </c>
      <c r="B85" s="6" t="s">
        <v>207</v>
      </c>
      <c r="C85" s="6" t="s">
        <v>280</v>
      </c>
      <c r="D85" s="6" t="s">
        <v>280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 t="s">
        <v>160</v>
      </c>
      <c r="B86" s="6" t="s">
        <v>207</v>
      </c>
      <c r="C86" s="6" t="s">
        <v>281</v>
      </c>
      <c r="D86" s="6" t="s">
        <v>281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 t="s">
        <v>160</v>
      </c>
      <c r="B87" s="6" t="s">
        <v>207</v>
      </c>
      <c r="C87" s="6" t="s">
        <v>282</v>
      </c>
      <c r="D87" s="6" t="s">
        <v>282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 t="s">
        <v>160</v>
      </c>
      <c r="B88" s="6" t="s">
        <v>207</v>
      </c>
      <c r="C88" s="6" t="s">
        <v>283</v>
      </c>
      <c r="D88" s="6" t="s">
        <v>283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 t="s">
        <v>160</v>
      </c>
      <c r="B89" s="6" t="s">
        <v>207</v>
      </c>
      <c r="C89" s="6" t="s">
        <v>284</v>
      </c>
      <c r="D89" s="6" t="s">
        <v>284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 t="s">
        <v>160</v>
      </c>
      <c r="B90" s="6" t="s">
        <v>207</v>
      </c>
      <c r="C90" s="6" t="s">
        <v>285</v>
      </c>
      <c r="D90" s="6" t="s">
        <v>285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 t="s">
        <v>160</v>
      </c>
      <c r="B91" s="6" t="s">
        <v>207</v>
      </c>
      <c r="C91" s="6" t="s">
        <v>286</v>
      </c>
      <c r="D91" s="6" t="s">
        <v>286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 t="s">
        <v>160</v>
      </c>
      <c r="B92" s="6" t="s">
        <v>207</v>
      </c>
      <c r="C92" s="6" t="s">
        <v>287</v>
      </c>
      <c r="D92" s="6" t="s">
        <v>287</v>
      </c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 t="s">
        <v>160</v>
      </c>
      <c r="B93" s="6" t="s">
        <v>207</v>
      </c>
      <c r="C93" s="6" t="s">
        <v>288</v>
      </c>
      <c r="D93" s="6" t="s">
        <v>288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 t="s">
        <v>160</v>
      </c>
      <c r="B94" s="6" t="s">
        <v>207</v>
      </c>
      <c r="C94" s="6" t="s">
        <v>289</v>
      </c>
      <c r="D94" s="6" t="s">
        <v>289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 t="s">
        <v>160</v>
      </c>
      <c r="B95" s="6" t="s">
        <v>207</v>
      </c>
      <c r="C95" s="6" t="s">
        <v>290</v>
      </c>
      <c r="D95" s="6" t="s">
        <v>290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 t="s">
        <v>160</v>
      </c>
      <c r="B96" s="6" t="s">
        <v>207</v>
      </c>
      <c r="C96" s="6" t="s">
        <v>291</v>
      </c>
      <c r="D96" s="6" t="s">
        <v>291</v>
      </c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 t="s">
        <v>160</v>
      </c>
      <c r="B97" s="6" t="s">
        <v>207</v>
      </c>
      <c r="C97" s="6" t="s">
        <v>292</v>
      </c>
      <c r="D97" s="6" t="s">
        <v>292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 t="s">
        <v>160</v>
      </c>
      <c r="B98" s="6" t="s">
        <v>207</v>
      </c>
      <c r="C98" s="6" t="s">
        <v>293</v>
      </c>
      <c r="D98" s="6" t="s">
        <v>293</v>
      </c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 t="s">
        <v>160</v>
      </c>
      <c r="B99" s="6" t="s">
        <v>207</v>
      </c>
      <c r="C99" s="6" t="s">
        <v>294</v>
      </c>
      <c r="D99" s="6" t="s">
        <v>294</v>
      </c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 t="s">
        <v>160</v>
      </c>
      <c r="B100" s="6" t="s">
        <v>207</v>
      </c>
      <c r="C100" s="6" t="s">
        <v>295</v>
      </c>
      <c r="D100" s="6" t="s">
        <v>295</v>
      </c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 t="s">
        <v>160</v>
      </c>
      <c r="B101" s="6" t="s">
        <v>207</v>
      </c>
      <c r="C101" s="6" t="s">
        <v>296</v>
      </c>
      <c r="D101" s="6" t="s">
        <v>296</v>
      </c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 t="s">
        <v>160</v>
      </c>
      <c r="B102" s="6" t="s">
        <v>207</v>
      </c>
      <c r="C102" s="6" t="s">
        <v>297</v>
      </c>
      <c r="D102" s="6" t="s">
        <v>297</v>
      </c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 t="s">
        <v>160</v>
      </c>
      <c r="B103" s="6" t="s">
        <v>207</v>
      </c>
      <c r="C103" s="6" t="s">
        <v>298</v>
      </c>
      <c r="D103" s="6" t="s">
        <v>298</v>
      </c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 t="s">
        <v>160</v>
      </c>
      <c r="B104" s="6" t="s">
        <v>207</v>
      </c>
      <c r="C104" s="6" t="s">
        <v>299</v>
      </c>
      <c r="D104" s="6" t="s">
        <v>299</v>
      </c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 t="s">
        <v>160</v>
      </c>
      <c r="B105" s="6" t="s">
        <v>207</v>
      </c>
      <c r="C105" s="6" t="s">
        <v>300</v>
      </c>
      <c r="D105" s="6" t="s">
        <v>300</v>
      </c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 t="s">
        <v>160</v>
      </c>
      <c r="B106" s="6" t="s">
        <v>207</v>
      </c>
      <c r="C106" s="6" t="s">
        <v>301</v>
      </c>
      <c r="D106" s="6" t="s">
        <v>301</v>
      </c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 t="s">
        <v>160</v>
      </c>
      <c r="B107" s="6" t="s">
        <v>207</v>
      </c>
      <c r="C107" s="6" t="s">
        <v>302</v>
      </c>
      <c r="D107" s="6" t="s">
        <v>302</v>
      </c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 t="s">
        <v>160</v>
      </c>
      <c r="B108" s="6" t="s">
        <v>207</v>
      </c>
      <c r="C108" s="6" t="s">
        <v>303</v>
      </c>
      <c r="D108" s="6" t="s">
        <v>303</v>
      </c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 t="s">
        <v>160</v>
      </c>
      <c r="B109" s="6" t="s">
        <v>207</v>
      </c>
      <c r="C109" s="6" t="s">
        <v>304</v>
      </c>
      <c r="D109" s="6" t="s">
        <v>304</v>
      </c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 t="s">
        <v>160</v>
      </c>
      <c r="B110" s="6" t="s">
        <v>207</v>
      </c>
      <c r="C110" s="6" t="s">
        <v>305</v>
      </c>
      <c r="D110" s="6" t="s">
        <v>305</v>
      </c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 t="s">
        <v>160</v>
      </c>
      <c r="B111" s="6" t="s">
        <v>207</v>
      </c>
      <c r="C111" s="6" t="s">
        <v>306</v>
      </c>
      <c r="D111" s="6" t="s">
        <v>306</v>
      </c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 t="s">
        <v>160</v>
      </c>
      <c r="B112" s="6" t="s">
        <v>207</v>
      </c>
      <c r="C112" s="6" t="s">
        <v>307</v>
      </c>
      <c r="D112" s="6" t="s">
        <v>307</v>
      </c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 t="s">
        <v>160</v>
      </c>
      <c r="B113" s="6" t="s">
        <v>207</v>
      </c>
      <c r="C113" s="6" t="s">
        <v>308</v>
      </c>
      <c r="D113" s="6" t="s">
        <v>308</v>
      </c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 t="s">
        <v>160</v>
      </c>
      <c r="B114" s="6" t="s">
        <v>207</v>
      </c>
      <c r="C114" s="6" t="s">
        <v>253</v>
      </c>
      <c r="D114" s="6" t="s">
        <v>253</v>
      </c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 t="s">
        <v>160</v>
      </c>
      <c r="B115" s="6" t="s">
        <v>207</v>
      </c>
      <c r="C115" s="6" t="s">
        <v>309</v>
      </c>
      <c r="D115" s="6" t="s">
        <v>309</v>
      </c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 t="s">
        <v>160</v>
      </c>
      <c r="B116" s="6" t="s">
        <v>207</v>
      </c>
      <c r="C116" s="6" t="s">
        <v>310</v>
      </c>
      <c r="D116" s="6" t="s">
        <v>310</v>
      </c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 t="s">
        <v>160</v>
      </c>
      <c r="B117" s="6" t="s">
        <v>207</v>
      </c>
      <c r="C117" s="6" t="s">
        <v>311</v>
      </c>
      <c r="D117" s="6" t="s">
        <v>311</v>
      </c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 t="s">
        <v>160</v>
      </c>
      <c r="B118" s="6" t="s">
        <v>207</v>
      </c>
      <c r="C118" s="6" t="s">
        <v>312</v>
      </c>
      <c r="D118" s="6" t="s">
        <v>312</v>
      </c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 t="s">
        <v>160</v>
      </c>
      <c r="B119" s="6" t="s">
        <v>207</v>
      </c>
      <c r="C119" s="6" t="s">
        <v>313</v>
      </c>
      <c r="D119" s="6" t="s">
        <v>313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 t="s">
        <v>160</v>
      </c>
      <c r="B120" s="6" t="s">
        <v>207</v>
      </c>
      <c r="C120" s="6" t="s">
        <v>314</v>
      </c>
      <c r="D120" s="6" t="s">
        <v>314</v>
      </c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 t="s">
        <v>160</v>
      </c>
      <c r="B121" s="6" t="s">
        <v>207</v>
      </c>
      <c r="C121" s="6" t="s">
        <v>315</v>
      </c>
      <c r="D121" s="6" t="s">
        <v>315</v>
      </c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 t="s">
        <v>160</v>
      </c>
      <c r="B122" s="6" t="s">
        <v>207</v>
      </c>
      <c r="C122" s="6" t="s">
        <v>316</v>
      </c>
      <c r="D122" s="6" t="s">
        <v>316</v>
      </c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 t="s">
        <v>160</v>
      </c>
      <c r="B123" s="6" t="s">
        <v>207</v>
      </c>
      <c r="C123" s="6" t="s">
        <v>317</v>
      </c>
      <c r="D123" s="6" t="s">
        <v>317</v>
      </c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 t="s">
        <v>160</v>
      </c>
      <c r="B124" s="6" t="s">
        <v>207</v>
      </c>
      <c r="C124" s="6" t="s">
        <v>318</v>
      </c>
      <c r="D124" s="6" t="s">
        <v>318</v>
      </c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 t="s">
        <v>160</v>
      </c>
      <c r="B125" s="6" t="s">
        <v>207</v>
      </c>
      <c r="C125" s="6" t="s">
        <v>319</v>
      </c>
      <c r="D125" s="6" t="s">
        <v>319</v>
      </c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 t="s">
        <v>160</v>
      </c>
      <c r="B126" s="6" t="s">
        <v>207</v>
      </c>
      <c r="C126" s="6" t="s">
        <v>320</v>
      </c>
      <c r="D126" s="6" t="s">
        <v>320</v>
      </c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 t="s">
        <v>160</v>
      </c>
      <c r="B127" s="6" t="s">
        <v>207</v>
      </c>
      <c r="C127" s="6" t="s">
        <v>321</v>
      </c>
      <c r="D127" s="6" t="s">
        <v>321</v>
      </c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 t="s">
        <v>160</v>
      </c>
      <c r="B128" s="6" t="s">
        <v>207</v>
      </c>
      <c r="C128" s="6" t="s">
        <v>322</v>
      </c>
      <c r="D128" s="6" t="s">
        <v>322</v>
      </c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 t="s">
        <v>160</v>
      </c>
      <c r="B129" s="6" t="s">
        <v>207</v>
      </c>
      <c r="C129" s="6" t="s">
        <v>323</v>
      </c>
      <c r="D129" s="6" t="s">
        <v>323</v>
      </c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 t="s">
        <v>160</v>
      </c>
      <c r="B130" s="6" t="s">
        <v>207</v>
      </c>
      <c r="C130" s="6" t="s">
        <v>324</v>
      </c>
      <c r="D130" s="6" t="s">
        <v>324</v>
      </c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 t="s">
        <v>160</v>
      </c>
      <c r="B131" s="6" t="s">
        <v>207</v>
      </c>
      <c r="C131" s="6" t="s">
        <v>325</v>
      </c>
      <c r="D131" s="6" t="s">
        <v>325</v>
      </c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 t="s">
        <v>160</v>
      </c>
      <c r="B132" s="6" t="s">
        <v>207</v>
      </c>
      <c r="C132" s="6" t="s">
        <v>326</v>
      </c>
      <c r="D132" s="6" t="s">
        <v>326</v>
      </c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 t="s">
        <v>160</v>
      </c>
      <c r="B133" s="6" t="s">
        <v>207</v>
      </c>
      <c r="C133" s="6" t="s">
        <v>327</v>
      </c>
      <c r="D133" s="6" t="s">
        <v>327</v>
      </c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 t="s">
        <v>160</v>
      </c>
      <c r="B134" s="6" t="s">
        <v>207</v>
      </c>
      <c r="C134" s="6" t="s">
        <v>328</v>
      </c>
      <c r="D134" s="6" t="s">
        <v>328</v>
      </c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 t="s">
        <v>160</v>
      </c>
      <c r="B135" s="6" t="s">
        <v>207</v>
      </c>
      <c r="C135" s="6" t="s">
        <v>329</v>
      </c>
      <c r="D135" s="6" t="s">
        <v>329</v>
      </c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 t="s">
        <v>160</v>
      </c>
      <c r="B136" s="6" t="s">
        <v>207</v>
      </c>
      <c r="C136" s="6" t="s">
        <v>330</v>
      </c>
      <c r="D136" s="6" t="s">
        <v>330</v>
      </c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 t="s">
        <v>160</v>
      </c>
      <c r="B137" s="6" t="s">
        <v>207</v>
      </c>
      <c r="C137" s="6" t="s">
        <v>331</v>
      </c>
      <c r="D137" s="6" t="s">
        <v>331</v>
      </c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 t="s">
        <v>160</v>
      </c>
      <c r="B138" s="6" t="s">
        <v>207</v>
      </c>
      <c r="C138" s="6" t="s">
        <v>332</v>
      </c>
      <c r="D138" s="6" t="s">
        <v>332</v>
      </c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 t="s">
        <v>160</v>
      </c>
      <c r="B139" s="6" t="s">
        <v>207</v>
      </c>
      <c r="C139" s="6" t="s">
        <v>333</v>
      </c>
      <c r="D139" s="6" t="s">
        <v>333</v>
      </c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 t="s">
        <v>160</v>
      </c>
      <c r="B140" s="6" t="s">
        <v>207</v>
      </c>
      <c r="C140" s="6" t="s">
        <v>334</v>
      </c>
      <c r="D140" s="6" t="s">
        <v>334</v>
      </c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 t="s">
        <v>160</v>
      </c>
      <c r="B141" s="6" t="s">
        <v>207</v>
      </c>
      <c r="C141" s="6" t="s">
        <v>335</v>
      </c>
      <c r="D141" s="6" t="s">
        <v>335</v>
      </c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 t="s">
        <v>160</v>
      </c>
      <c r="B142" s="6" t="s">
        <v>207</v>
      </c>
      <c r="C142" s="6" t="s">
        <v>336</v>
      </c>
      <c r="D142" s="6" t="s">
        <v>336</v>
      </c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 t="s">
        <v>160</v>
      </c>
      <c r="B143" s="6" t="s">
        <v>207</v>
      </c>
      <c r="C143" s="6" t="s">
        <v>337</v>
      </c>
      <c r="D143" s="6" t="s">
        <v>337</v>
      </c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 t="s">
        <v>160</v>
      </c>
      <c r="B144" s="6" t="s">
        <v>207</v>
      </c>
      <c r="C144" s="6" t="s">
        <v>338</v>
      </c>
      <c r="D144" s="6" t="s">
        <v>338</v>
      </c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 t="s">
        <v>160</v>
      </c>
      <c r="B145" s="6" t="s">
        <v>207</v>
      </c>
      <c r="C145" s="6" t="s">
        <v>339</v>
      </c>
      <c r="D145" s="6" t="s">
        <v>339</v>
      </c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 t="s">
        <v>160</v>
      </c>
      <c r="B146" s="6" t="s">
        <v>207</v>
      </c>
      <c r="C146" s="6" t="s">
        <v>340</v>
      </c>
      <c r="D146" s="6" t="s">
        <v>340</v>
      </c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 t="s">
        <v>160</v>
      </c>
      <c r="B147" s="6" t="s">
        <v>207</v>
      </c>
      <c r="C147" s="6" t="s">
        <v>341</v>
      </c>
      <c r="D147" s="6" t="s">
        <v>341</v>
      </c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 t="s">
        <v>160</v>
      </c>
      <c r="B148" s="6" t="s">
        <v>207</v>
      </c>
      <c r="C148" s="6" t="s">
        <v>342</v>
      </c>
      <c r="D148" s="6" t="s">
        <v>342</v>
      </c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 t="s">
        <v>160</v>
      </c>
      <c r="B149" s="6" t="s">
        <v>207</v>
      </c>
      <c r="C149" s="6" t="s">
        <v>343</v>
      </c>
      <c r="D149" s="6" t="s">
        <v>343</v>
      </c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 t="s">
        <v>160</v>
      </c>
      <c r="B150" s="6" t="s">
        <v>207</v>
      </c>
      <c r="C150" s="6" t="s">
        <v>344</v>
      </c>
      <c r="D150" s="6" t="s">
        <v>344</v>
      </c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 t="s">
        <v>160</v>
      </c>
      <c r="B151" s="6" t="s">
        <v>207</v>
      </c>
      <c r="C151" s="6" t="s">
        <v>345</v>
      </c>
      <c r="D151" s="6" t="s">
        <v>345</v>
      </c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 t="s">
        <v>160</v>
      </c>
      <c r="B152" s="6" t="s">
        <v>207</v>
      </c>
      <c r="C152" s="6" t="s">
        <v>346</v>
      </c>
      <c r="D152" s="6" t="s">
        <v>346</v>
      </c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 t="s">
        <v>160</v>
      </c>
      <c r="B153" s="6" t="s">
        <v>207</v>
      </c>
      <c r="C153" s="6" t="s">
        <v>347</v>
      </c>
      <c r="D153" s="6" t="s">
        <v>347</v>
      </c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 t="s">
        <v>160</v>
      </c>
      <c r="B154" s="6" t="s">
        <v>207</v>
      </c>
      <c r="C154" s="6" t="s">
        <v>348</v>
      </c>
      <c r="D154" s="6" t="s">
        <v>348</v>
      </c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 t="s">
        <v>160</v>
      </c>
      <c r="B155" s="6" t="s">
        <v>207</v>
      </c>
      <c r="C155" s="6" t="s">
        <v>349</v>
      </c>
      <c r="D155" s="6" t="s">
        <v>349</v>
      </c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 t="s">
        <v>160</v>
      </c>
      <c r="B156" s="6" t="s">
        <v>207</v>
      </c>
      <c r="C156" s="6" t="s">
        <v>350</v>
      </c>
      <c r="D156" s="6" t="s">
        <v>350</v>
      </c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 t="s">
        <v>160</v>
      </c>
      <c r="B157" s="6" t="s">
        <v>207</v>
      </c>
      <c r="C157" s="6" t="s">
        <v>351</v>
      </c>
      <c r="D157" s="6" t="s">
        <v>351</v>
      </c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 t="s">
        <v>160</v>
      </c>
      <c r="B158" s="6" t="s">
        <v>207</v>
      </c>
      <c r="C158" s="6" t="s">
        <v>352</v>
      </c>
      <c r="D158" s="6" t="s">
        <v>352</v>
      </c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 t="s">
        <v>160</v>
      </c>
      <c r="B159" s="6" t="s">
        <v>207</v>
      </c>
      <c r="C159" s="6" t="s">
        <v>353</v>
      </c>
      <c r="D159" s="6" t="s">
        <v>353</v>
      </c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 t="s">
        <v>160</v>
      </c>
      <c r="B160" s="6" t="s">
        <v>207</v>
      </c>
      <c r="C160" s="6" t="s">
        <v>354</v>
      </c>
      <c r="D160" s="6" t="s">
        <v>354</v>
      </c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 t="s">
        <v>160</v>
      </c>
      <c r="B161" s="6" t="s">
        <v>207</v>
      </c>
      <c r="C161" s="6" t="s">
        <v>355</v>
      </c>
      <c r="D161" s="6" t="s">
        <v>355</v>
      </c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 t="s">
        <v>160</v>
      </c>
      <c r="B162" s="6" t="s">
        <v>207</v>
      </c>
      <c r="C162" s="6" t="s">
        <v>356</v>
      </c>
      <c r="D162" s="6" t="s">
        <v>356</v>
      </c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 t="s">
        <v>160</v>
      </c>
      <c r="B163" s="6" t="s">
        <v>207</v>
      </c>
      <c r="C163" s="6" t="s">
        <v>357</v>
      </c>
      <c r="D163" s="6" t="s">
        <v>357</v>
      </c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 t="s">
        <v>160</v>
      </c>
      <c r="B164" s="6" t="s">
        <v>207</v>
      </c>
      <c r="C164" s="6" t="s">
        <v>358</v>
      </c>
      <c r="D164" s="6" t="s">
        <v>358</v>
      </c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 t="s">
        <v>160</v>
      </c>
      <c r="B165" s="6" t="s">
        <v>207</v>
      </c>
      <c r="C165" s="6" t="s">
        <v>359</v>
      </c>
      <c r="D165" s="6" t="s">
        <v>359</v>
      </c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 t="s">
        <v>160</v>
      </c>
      <c r="B166" s="6" t="s">
        <v>207</v>
      </c>
      <c r="C166" s="6" t="s">
        <v>360</v>
      </c>
      <c r="D166" s="6" t="s">
        <v>360</v>
      </c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 t="s">
        <v>160</v>
      </c>
      <c r="B167" s="6" t="s">
        <v>207</v>
      </c>
      <c r="C167" s="6" t="s">
        <v>361</v>
      </c>
      <c r="D167" s="6" t="s">
        <v>361</v>
      </c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 t="s">
        <v>160</v>
      </c>
      <c r="B168" s="6" t="s">
        <v>207</v>
      </c>
      <c r="C168" s="6" t="s">
        <v>362</v>
      </c>
      <c r="D168" s="6" t="s">
        <v>362</v>
      </c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 t="s">
        <v>160</v>
      </c>
      <c r="B169" s="6" t="s">
        <v>207</v>
      </c>
      <c r="C169" s="6" t="s">
        <v>363</v>
      </c>
      <c r="D169" s="6" t="s">
        <v>363</v>
      </c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 t="s">
        <v>160</v>
      </c>
      <c r="B170" s="6" t="s">
        <v>207</v>
      </c>
      <c r="C170" s="6" t="s">
        <v>364</v>
      </c>
      <c r="D170" s="6" t="s">
        <v>364</v>
      </c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 t="s">
        <v>160</v>
      </c>
      <c r="B171" s="6" t="s">
        <v>207</v>
      </c>
      <c r="C171" s="6" t="s">
        <v>365</v>
      </c>
      <c r="D171" s="6" t="s">
        <v>365</v>
      </c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 t="s">
        <v>160</v>
      </c>
      <c r="B172" s="6" t="s">
        <v>207</v>
      </c>
      <c r="C172" s="6" t="s">
        <v>366</v>
      </c>
      <c r="D172" s="6" t="s">
        <v>366</v>
      </c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 t="s">
        <v>160</v>
      </c>
      <c r="B173" s="6" t="s">
        <v>207</v>
      </c>
      <c r="C173" s="6" t="s">
        <v>367</v>
      </c>
      <c r="D173" s="6" t="s">
        <v>367</v>
      </c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 t="s">
        <v>160</v>
      </c>
      <c r="B174" s="6" t="s">
        <v>207</v>
      </c>
      <c r="C174" s="6" t="s">
        <v>368</v>
      </c>
      <c r="D174" s="6" t="s">
        <v>368</v>
      </c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 t="s">
        <v>160</v>
      </c>
      <c r="B175" s="6" t="s">
        <v>207</v>
      </c>
      <c r="C175" s="6" t="s">
        <v>369</v>
      </c>
      <c r="D175" s="6" t="s">
        <v>369</v>
      </c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 t="s">
        <v>160</v>
      </c>
      <c r="B176" s="6" t="s">
        <v>207</v>
      </c>
      <c r="C176" s="6" t="s">
        <v>370</v>
      </c>
      <c r="D176" s="6" t="s">
        <v>370</v>
      </c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 t="s">
        <v>160</v>
      </c>
      <c r="B177" s="6" t="s">
        <v>207</v>
      </c>
      <c r="C177" s="6" t="s">
        <v>371</v>
      </c>
      <c r="D177" s="6" t="s">
        <v>371</v>
      </c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 t="s">
        <v>160</v>
      </c>
      <c r="B178" s="6" t="s">
        <v>207</v>
      </c>
      <c r="C178" s="6" t="s">
        <v>372</v>
      </c>
      <c r="D178" s="6" t="s">
        <v>372</v>
      </c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 t="s">
        <v>160</v>
      </c>
      <c r="B179" s="6" t="s">
        <v>207</v>
      </c>
      <c r="C179" s="6" t="s">
        <v>373</v>
      </c>
      <c r="D179" s="6" t="s">
        <v>373</v>
      </c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 t="s">
        <v>160</v>
      </c>
      <c r="B180" s="6" t="s">
        <v>207</v>
      </c>
      <c r="C180" s="6" t="s">
        <v>374</v>
      </c>
      <c r="D180" s="6" t="s">
        <v>374</v>
      </c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 t="s">
        <v>160</v>
      </c>
      <c r="B181" s="6" t="s">
        <v>207</v>
      </c>
      <c r="C181" s="6" t="s">
        <v>375</v>
      </c>
      <c r="D181" s="6" t="s">
        <v>375</v>
      </c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 t="s">
        <v>160</v>
      </c>
      <c r="B182" s="6" t="s">
        <v>207</v>
      </c>
      <c r="C182" s="6" t="s">
        <v>376</v>
      </c>
      <c r="D182" s="6" t="s">
        <v>376</v>
      </c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 t="s">
        <v>160</v>
      </c>
      <c r="B183" s="6" t="s">
        <v>207</v>
      </c>
      <c r="C183" s="6" t="s">
        <v>377</v>
      </c>
      <c r="D183" s="6" t="s">
        <v>377</v>
      </c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 t="s">
        <v>160</v>
      </c>
      <c r="B184" s="6" t="s">
        <v>207</v>
      </c>
      <c r="C184" s="6" t="s">
        <v>378</v>
      </c>
      <c r="D184" s="6" t="s">
        <v>378</v>
      </c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 t="s">
        <v>160</v>
      </c>
      <c r="B185" s="6" t="s">
        <v>207</v>
      </c>
      <c r="C185" s="6" t="s">
        <v>379</v>
      </c>
      <c r="D185" s="6" t="s">
        <v>379</v>
      </c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 t="s">
        <v>160</v>
      </c>
      <c r="B186" s="6" t="s">
        <v>207</v>
      </c>
      <c r="C186" s="6" t="s">
        <v>380</v>
      </c>
      <c r="D186" s="6" t="s">
        <v>380</v>
      </c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 t="s">
        <v>160</v>
      </c>
      <c r="B187" s="6" t="s">
        <v>207</v>
      </c>
      <c r="C187" s="6" t="s">
        <v>381</v>
      </c>
      <c r="D187" s="6" t="s">
        <v>382</v>
      </c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 t="s">
        <v>160</v>
      </c>
      <c r="B188" s="6" t="s">
        <v>207</v>
      </c>
      <c r="C188" s="6" t="s">
        <v>381</v>
      </c>
      <c r="D188" s="6" t="s">
        <v>383</v>
      </c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 t="s">
        <v>160</v>
      </c>
      <c r="B189" s="6" t="s">
        <v>207</v>
      </c>
      <c r="C189" s="6" t="s">
        <v>384</v>
      </c>
      <c r="D189" s="6" t="s">
        <v>385</v>
      </c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 t="s">
        <v>160</v>
      </c>
      <c r="B190" s="6" t="s">
        <v>207</v>
      </c>
      <c r="C190" s="6" t="s">
        <v>386</v>
      </c>
      <c r="D190" s="6" t="s">
        <v>387</v>
      </c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 t="s">
        <v>160</v>
      </c>
      <c r="B191" s="6" t="s">
        <v>171</v>
      </c>
      <c r="C191" s="6" t="s">
        <v>388</v>
      </c>
      <c r="D191" s="6" t="s">
        <v>389</v>
      </c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 t="s">
        <v>160</v>
      </c>
      <c r="B192" s="6" t="s">
        <v>191</v>
      </c>
      <c r="C192" s="6" t="s">
        <v>390</v>
      </c>
      <c r="D192" s="6" t="s">
        <v>391</v>
      </c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 t="s">
        <v>160</v>
      </c>
      <c r="B193" s="6" t="s">
        <v>191</v>
      </c>
      <c r="C193" s="6" t="s">
        <v>392</v>
      </c>
      <c r="D193" s="6" t="s">
        <v>393</v>
      </c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 t="s">
        <v>394</v>
      </c>
      <c r="B194" s="6" t="s">
        <v>395</v>
      </c>
      <c r="C194" s="6" t="s">
        <v>396</v>
      </c>
      <c r="D194" s="6" t="s">
        <v>397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7" t="s">
        <v>394</v>
      </c>
      <c r="B195" s="7" t="s">
        <v>398</v>
      </c>
      <c r="C195" s="7" t="s">
        <v>399</v>
      </c>
      <c r="D195" s="7" t="s">
        <v>400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7" t="s">
        <v>394</v>
      </c>
      <c r="B196" s="7" t="s">
        <v>401</v>
      </c>
      <c r="C196" s="7" t="s">
        <v>399</v>
      </c>
      <c r="D196" s="7" t="s">
        <v>402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403</v>
      </c>
      <c r="B1" s="6" t="s">
        <v>404</v>
      </c>
      <c r="C1" s="6" t="s">
        <v>405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406</v>
      </c>
      <c r="B2" s="6" t="s">
        <v>407</v>
      </c>
      <c r="C2" s="8">
        <v>340000.0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408</v>
      </c>
      <c r="B3" s="6" t="s">
        <v>409</v>
      </c>
      <c r="C3" s="8">
        <v>170000.0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 t="s">
        <v>410</v>
      </c>
      <c r="B4" s="6" t="s">
        <v>407</v>
      </c>
      <c r="C4" s="8">
        <v>160000.0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 t="s">
        <v>411</v>
      </c>
      <c r="B5" s="6" t="s">
        <v>412</v>
      </c>
      <c r="C5" s="8">
        <v>91000.0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 t="s">
        <v>413</v>
      </c>
      <c r="B6" s="6" t="s">
        <v>412</v>
      </c>
      <c r="C6" s="8">
        <v>51000.0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 t="s">
        <v>414</v>
      </c>
      <c r="B7" s="6" t="s">
        <v>415</v>
      </c>
      <c r="C7" s="8">
        <v>35000.0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416</v>
      </c>
      <c r="B8" s="6" t="s">
        <v>412</v>
      </c>
      <c r="C8" s="8">
        <v>34000.0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417</v>
      </c>
      <c r="B9" s="6" t="s">
        <v>412</v>
      </c>
      <c r="C9" s="8">
        <v>33000.0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418</v>
      </c>
      <c r="B10" s="6" t="s">
        <v>412</v>
      </c>
      <c r="C10" s="8">
        <v>28000.0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419</v>
      </c>
      <c r="B11" s="6" t="s">
        <v>412</v>
      </c>
      <c r="C11" s="8">
        <v>23000.0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 t="s">
        <v>420</v>
      </c>
      <c r="B12" s="6" t="s">
        <v>415</v>
      </c>
      <c r="C12" s="8">
        <v>12000.0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421</v>
      </c>
      <c r="B13" s="6" t="s">
        <v>415</v>
      </c>
      <c r="C13" s="8">
        <v>11000.0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422</v>
      </c>
      <c r="B14" s="6" t="s">
        <v>415</v>
      </c>
      <c r="C14" s="8">
        <v>10000.0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423</v>
      </c>
      <c r="B15" s="6" t="s">
        <v>415</v>
      </c>
      <c r="C15" s="8">
        <v>9400.0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424</v>
      </c>
      <c r="B16" s="6" t="s">
        <v>412</v>
      </c>
      <c r="C16" s="8">
        <v>8600.0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425</v>
      </c>
      <c r="B17" s="6" t="s">
        <v>412</v>
      </c>
      <c r="C17" s="8">
        <v>8500.0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426</v>
      </c>
      <c r="B18" s="6" t="s">
        <v>427</v>
      </c>
      <c r="C18" s="8">
        <v>6800.0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428</v>
      </c>
      <c r="B19" s="6" t="s">
        <v>415</v>
      </c>
      <c r="C19" s="8">
        <v>6000.0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429</v>
      </c>
      <c r="B20" s="6" t="s">
        <v>412</v>
      </c>
      <c r="C20" s="8">
        <v>5500.0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430</v>
      </c>
      <c r="B21" s="6" t="s">
        <v>415</v>
      </c>
      <c r="C21" s="8">
        <v>4700.0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431</v>
      </c>
      <c r="B22" s="6" t="s">
        <v>415</v>
      </c>
      <c r="C22" s="8">
        <v>4600.0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432</v>
      </c>
      <c r="B23" s="6" t="s">
        <v>415</v>
      </c>
      <c r="C23" s="8">
        <v>4600.0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433</v>
      </c>
      <c r="B24" s="6" t="s">
        <v>412</v>
      </c>
      <c r="C24" s="8">
        <v>4400.0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434</v>
      </c>
      <c r="B25" s="6" t="s">
        <v>415</v>
      </c>
      <c r="C25" s="8">
        <v>3900.0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 t="s">
        <v>435</v>
      </c>
      <c r="B26" s="6" t="s">
        <v>427</v>
      </c>
      <c r="C26" s="8">
        <v>2900.0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 t="s">
        <v>436</v>
      </c>
      <c r="B27" s="6" t="s">
        <v>437</v>
      </c>
      <c r="C27" s="8">
        <v>18000.0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 t="s">
        <v>438</v>
      </c>
      <c r="B28" s="6" t="s">
        <v>437</v>
      </c>
      <c r="C28" s="9">
        <v>600.0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 t="s">
        <v>439</v>
      </c>
      <c r="B29" s="6" t="s">
        <v>437</v>
      </c>
      <c r="C29" s="9">
        <v>390.0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 t="s">
        <v>440</v>
      </c>
      <c r="B30" s="6" t="s">
        <v>437</v>
      </c>
      <c r="C30" s="9">
        <v>170.0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 t="s">
        <v>441</v>
      </c>
      <c r="B31" s="6" t="s">
        <v>437</v>
      </c>
      <c r="C31" s="9">
        <v>160.0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 t="s">
        <v>442</v>
      </c>
      <c r="B32" s="6" t="s">
        <v>437</v>
      </c>
      <c r="C32" s="9">
        <v>120.0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 t="s">
        <v>443</v>
      </c>
      <c r="B33" s="6" t="s">
        <v>437</v>
      </c>
      <c r="C33" s="9">
        <v>110.0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 t="s">
        <v>444</v>
      </c>
      <c r="B34" s="6" t="s">
        <v>445</v>
      </c>
      <c r="C34" s="8">
        <v>8800.0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 t="s">
        <v>446</v>
      </c>
      <c r="B35" s="6" t="s">
        <v>445</v>
      </c>
      <c r="C35" s="8">
        <v>17000.0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7" t="s">
        <v>23</v>
      </c>
      <c r="B36" s="7" t="s">
        <v>412</v>
      </c>
      <c r="C36" s="7">
        <v>4600.0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7" t="s">
        <v>447</v>
      </c>
      <c r="B37" s="7" t="s">
        <v>412</v>
      </c>
      <c r="C37" s="7">
        <v>5100.0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25"/>
    <col customWidth="1" min="4" max="4" width="17.38"/>
    <col customWidth="1" min="6" max="6" width="49.25"/>
    <col customWidth="1" min="7" max="7" width="20.0"/>
  </cols>
  <sheetData>
    <row r="1">
      <c r="A1" s="5" t="s">
        <v>448</v>
      </c>
      <c r="B1" s="5" t="s">
        <v>449</v>
      </c>
      <c r="C1" s="5" t="s">
        <v>450</v>
      </c>
      <c r="D1" s="5" t="s">
        <v>159</v>
      </c>
      <c r="E1" s="5" t="s">
        <v>451</v>
      </c>
      <c r="F1" s="5" t="s">
        <v>452</v>
      </c>
      <c r="G1" s="5" t="s">
        <v>453</v>
      </c>
      <c r="H1" s="10" t="s">
        <v>454</v>
      </c>
      <c r="I1" s="10" t="s">
        <v>454</v>
      </c>
      <c r="J1" s="10" t="s">
        <v>454</v>
      </c>
      <c r="K1" s="10" t="s">
        <v>454</v>
      </c>
      <c r="L1" s="10" t="s">
        <v>454</v>
      </c>
      <c r="M1" s="10" t="s">
        <v>454</v>
      </c>
      <c r="N1" s="10" t="s">
        <v>454</v>
      </c>
      <c r="O1" s="10" t="s">
        <v>454</v>
      </c>
      <c r="P1" s="10" t="s">
        <v>454</v>
      </c>
      <c r="Q1" s="10" t="s">
        <v>454</v>
      </c>
      <c r="R1" s="10" t="s">
        <v>454</v>
      </c>
      <c r="S1" s="10" t="s">
        <v>454</v>
      </c>
      <c r="T1" s="10" t="s">
        <v>454</v>
      </c>
      <c r="U1" s="10" t="s">
        <v>454</v>
      </c>
      <c r="V1" s="10" t="s">
        <v>454</v>
      </c>
      <c r="W1" s="10" t="s">
        <v>454</v>
      </c>
      <c r="X1" s="10" t="s">
        <v>454</v>
      </c>
      <c r="Y1" s="10" t="s">
        <v>454</v>
      </c>
      <c r="Z1" s="10" t="s">
        <v>454</v>
      </c>
      <c r="AA1" s="10" t="s">
        <v>454</v>
      </c>
    </row>
    <row r="2">
      <c r="A2" s="11">
        <v>46120.07217587963</v>
      </c>
      <c r="B2" s="5" t="s">
        <v>455</v>
      </c>
      <c r="C2" s="5" t="s">
        <v>456</v>
      </c>
      <c r="D2" s="5" t="s">
        <v>400</v>
      </c>
      <c r="E2" s="5">
        <v>6400.0</v>
      </c>
      <c r="F2" s="5" t="s">
        <v>457</v>
      </c>
      <c r="G2" s="5" t="s">
        <v>406</v>
      </c>
    </row>
    <row r="3">
      <c r="A3" s="11">
        <v>46120.67642912037</v>
      </c>
      <c r="B3" s="5" t="s">
        <v>458</v>
      </c>
      <c r="C3" s="5" t="s">
        <v>459</v>
      </c>
      <c r="D3" s="5" t="s">
        <v>166</v>
      </c>
      <c r="E3" s="5">
        <v>15420.0</v>
      </c>
      <c r="F3" s="5" t="s">
        <v>457</v>
      </c>
      <c r="G3" s="5" t="s">
        <v>422</v>
      </c>
    </row>
    <row r="4">
      <c r="A4" s="11">
        <v>46120.68984010417</v>
      </c>
      <c r="B4" s="5" t="s">
        <v>458</v>
      </c>
      <c r="C4" s="5" t="s">
        <v>459</v>
      </c>
      <c r="D4" s="5" t="s">
        <v>166</v>
      </c>
      <c r="E4" s="5">
        <v>17140.0</v>
      </c>
      <c r="F4" s="5" t="s">
        <v>457</v>
      </c>
      <c r="G4" s="5" t="s">
        <v>431</v>
      </c>
    </row>
    <row r="5">
      <c r="A5" s="11">
        <v>46120.69094564815</v>
      </c>
      <c r="B5" s="5" t="s">
        <v>458</v>
      </c>
      <c r="C5" s="5" t="s">
        <v>459</v>
      </c>
      <c r="D5" s="5" t="s">
        <v>166</v>
      </c>
      <c r="E5" s="5">
        <v>11565.0</v>
      </c>
      <c r="F5" s="5" t="s">
        <v>457</v>
      </c>
      <c r="G5" s="5" t="s">
        <v>422</v>
      </c>
    </row>
    <row r="6">
      <c r="A6" s="11">
        <v>46120.79365277778</v>
      </c>
      <c r="B6" s="5" t="s">
        <v>455</v>
      </c>
      <c r="C6" s="5" t="s">
        <v>459</v>
      </c>
      <c r="D6" s="5" t="s">
        <v>166</v>
      </c>
      <c r="E6" s="5">
        <v>3370.0</v>
      </c>
      <c r="F6" s="5" t="s">
        <v>457</v>
      </c>
      <c r="G6" s="5" t="s">
        <v>23</v>
      </c>
    </row>
    <row r="7">
      <c r="A7" s="11">
        <v>46120.89250728009</v>
      </c>
      <c r="B7" s="5" t="s">
        <v>455</v>
      </c>
      <c r="C7" s="5" t="s">
        <v>459</v>
      </c>
      <c r="D7" s="5" t="s">
        <v>166</v>
      </c>
      <c r="E7" s="5">
        <v>17140.0</v>
      </c>
      <c r="F7" s="5" t="s">
        <v>457</v>
      </c>
      <c r="G7" s="5" t="s">
        <v>431</v>
      </c>
    </row>
    <row r="8">
      <c r="A8" s="11">
        <v>46120.89301842592</v>
      </c>
      <c r="B8" s="5" t="s">
        <v>455</v>
      </c>
      <c r="C8" s="5" t="s">
        <v>459</v>
      </c>
      <c r="D8" s="5" t="s">
        <v>166</v>
      </c>
      <c r="E8" s="5">
        <v>3170.0</v>
      </c>
      <c r="F8" s="5" t="s">
        <v>457</v>
      </c>
      <c r="G8" s="5" t="s">
        <v>408</v>
      </c>
    </row>
    <row r="9">
      <c r="A9" s="11">
        <v>46121.55773616898</v>
      </c>
      <c r="B9" s="5" t="s">
        <v>458</v>
      </c>
      <c r="C9" s="5" t="s">
        <v>456</v>
      </c>
      <c r="D9" s="5" t="s">
        <v>400</v>
      </c>
      <c r="E9" s="5">
        <v>17080.0</v>
      </c>
      <c r="F9" s="5" t="s">
        <v>457</v>
      </c>
      <c r="G9" s="5" t="s">
        <v>434</v>
      </c>
    </row>
    <row r="10">
      <c r="A10" s="11">
        <v>46121.55962395833</v>
      </c>
      <c r="B10" s="5" t="s">
        <v>458</v>
      </c>
      <c r="C10" s="5" t="s">
        <v>456</v>
      </c>
      <c r="D10" s="5" t="s">
        <v>400</v>
      </c>
      <c r="E10" s="5">
        <v>3200.0</v>
      </c>
      <c r="F10" s="5" t="s">
        <v>457</v>
      </c>
      <c r="G10" s="5" t="s">
        <v>406</v>
      </c>
    </row>
    <row r="11">
      <c r="A11" s="11">
        <v>46137.60888241898</v>
      </c>
      <c r="B11" s="5" t="s">
        <v>460</v>
      </c>
      <c r="C11" s="5" t="s">
        <v>461</v>
      </c>
      <c r="D11" s="5" t="s">
        <v>393</v>
      </c>
      <c r="E11" s="5">
        <v>3370.0</v>
      </c>
      <c r="F11" s="5" t="s">
        <v>462</v>
      </c>
      <c r="G11" s="5" t="s">
        <v>23</v>
      </c>
    </row>
    <row r="12">
      <c r="A12" s="11">
        <v>46137.60970408565</v>
      </c>
      <c r="B12" s="5" t="s">
        <v>460</v>
      </c>
      <c r="C12" s="5" t="s">
        <v>461</v>
      </c>
      <c r="D12" s="5" t="s">
        <v>393</v>
      </c>
      <c r="E12" s="5">
        <v>16960.0</v>
      </c>
      <c r="F12" s="5" t="s">
        <v>463</v>
      </c>
      <c r="G12" s="5" t="s">
        <v>430</v>
      </c>
    </row>
    <row r="13">
      <c r="A13" s="11">
        <v>46137.61014695602</v>
      </c>
      <c r="B13" s="5" t="s">
        <v>460</v>
      </c>
      <c r="C13" s="5" t="s">
        <v>461</v>
      </c>
      <c r="D13" s="5" t="s">
        <v>393</v>
      </c>
      <c r="E13" s="5">
        <v>4240.0</v>
      </c>
      <c r="F13" s="5" t="s">
        <v>464</v>
      </c>
      <c r="G13" s="5" t="s">
        <v>430</v>
      </c>
    </row>
    <row r="14">
      <c r="A14" s="11">
        <v>46137.61093369213</v>
      </c>
      <c r="B14" s="5" t="s">
        <v>460</v>
      </c>
      <c r="C14" s="5" t="s">
        <v>461</v>
      </c>
      <c r="D14" s="5" t="s">
        <v>393</v>
      </c>
      <c r="E14" s="5">
        <v>11565.0</v>
      </c>
      <c r="F14" s="5" t="s">
        <v>465</v>
      </c>
      <c r="G14" s="5" t="s">
        <v>422</v>
      </c>
    </row>
    <row r="15">
      <c r="A15" s="11">
        <v>46137.61148101852</v>
      </c>
      <c r="B15" s="5" t="s">
        <v>460</v>
      </c>
      <c r="C15" s="5" t="s">
        <v>461</v>
      </c>
      <c r="D15" s="5" t="s">
        <v>393</v>
      </c>
      <c r="E15" s="5">
        <v>17200.0</v>
      </c>
      <c r="F15" s="5" t="s">
        <v>466</v>
      </c>
      <c r="G15" s="5" t="s">
        <v>426</v>
      </c>
    </row>
    <row r="16">
      <c r="A16" s="11">
        <v>46137.611866956024</v>
      </c>
      <c r="B16" s="5" t="s">
        <v>460</v>
      </c>
      <c r="C16" s="5" t="s">
        <v>461</v>
      </c>
      <c r="D16" s="5" t="s">
        <v>393</v>
      </c>
      <c r="E16" s="5">
        <v>17080.0</v>
      </c>
      <c r="F16" s="5" t="s">
        <v>467</v>
      </c>
      <c r="G16" s="5" t="s">
        <v>434</v>
      </c>
    </row>
    <row r="17">
      <c r="A17" s="11">
        <v>46137.61230273148</v>
      </c>
      <c r="B17" s="5" t="s">
        <v>460</v>
      </c>
      <c r="C17" s="5" t="s">
        <v>461</v>
      </c>
      <c r="D17" s="5" t="s">
        <v>393</v>
      </c>
      <c r="E17" s="5">
        <v>11565.0</v>
      </c>
      <c r="F17" s="5" t="s">
        <v>465</v>
      </c>
      <c r="G17" s="5" t="s">
        <v>422</v>
      </c>
    </row>
    <row r="18">
      <c r="A18" s="11">
        <v>46137.61304136574</v>
      </c>
      <c r="B18" s="5" t="s">
        <v>460</v>
      </c>
      <c r="C18" s="5" t="s">
        <v>461</v>
      </c>
      <c r="D18" s="5" t="s">
        <v>393</v>
      </c>
      <c r="E18" s="5">
        <v>21200.0</v>
      </c>
      <c r="F18" s="5" t="s">
        <v>468</v>
      </c>
      <c r="G18" s="5" t="s">
        <v>430</v>
      </c>
    </row>
    <row r="19">
      <c r="A19" s="11">
        <v>46137.61333021991</v>
      </c>
      <c r="B19" s="5" t="s">
        <v>460</v>
      </c>
      <c r="C19" s="5" t="s">
        <v>461</v>
      </c>
      <c r="D19" s="5" t="s">
        <v>393</v>
      </c>
      <c r="E19" s="5">
        <v>3370.0</v>
      </c>
      <c r="F19" s="5" t="s">
        <v>462</v>
      </c>
      <c r="G19" s="5" t="s">
        <v>23</v>
      </c>
    </row>
    <row r="20">
      <c r="A20" s="11">
        <v>46137.61357592593</v>
      </c>
      <c r="B20" s="5" t="s">
        <v>460</v>
      </c>
      <c r="C20" s="5" t="s">
        <v>461</v>
      </c>
      <c r="D20" s="5" t="s">
        <v>393</v>
      </c>
      <c r="E20" s="5">
        <v>15420.0</v>
      </c>
      <c r="F20" s="5" t="s">
        <v>469</v>
      </c>
      <c r="G20" s="5" t="s">
        <v>422</v>
      </c>
    </row>
    <row r="21">
      <c r="A21" s="11">
        <v>46137.61419712963</v>
      </c>
      <c r="B21" s="5" t="s">
        <v>460</v>
      </c>
      <c r="C21" s="5" t="s">
        <v>461</v>
      </c>
      <c r="D21" s="5" t="s">
        <v>393</v>
      </c>
      <c r="E21" s="5">
        <v>19275.0</v>
      </c>
      <c r="F21" s="5" t="s">
        <v>470</v>
      </c>
      <c r="G21" s="5" t="s">
        <v>422</v>
      </c>
    </row>
    <row r="22">
      <c r="A22" s="11">
        <v>46137.61447111111</v>
      </c>
      <c r="B22" s="5" t="s">
        <v>460</v>
      </c>
      <c r="C22" s="5" t="s">
        <v>461</v>
      </c>
      <c r="D22" s="5" t="s">
        <v>393</v>
      </c>
      <c r="E22" s="5">
        <v>17080.0</v>
      </c>
      <c r="F22" s="5" t="s">
        <v>467</v>
      </c>
      <c r="G22" s="5" t="s">
        <v>434</v>
      </c>
    </row>
    <row r="23">
      <c r="A23" s="11">
        <v>46137.61522304398</v>
      </c>
      <c r="B23" s="5" t="s">
        <v>460</v>
      </c>
      <c r="C23" s="5" t="s">
        <v>461</v>
      </c>
      <c r="D23" s="5" t="s">
        <v>393</v>
      </c>
      <c r="E23" s="5">
        <v>12000.0</v>
      </c>
      <c r="F23" s="5" t="s">
        <v>471</v>
      </c>
      <c r="G23" s="5" t="s">
        <v>444</v>
      </c>
    </row>
    <row r="24">
      <c r="A24" s="11">
        <v>46137.61554337963</v>
      </c>
      <c r="B24" s="5" t="s">
        <v>460</v>
      </c>
      <c r="C24" s="5" t="s">
        <v>461</v>
      </c>
      <c r="D24" s="5" t="s">
        <v>393</v>
      </c>
      <c r="E24" s="5">
        <v>10000.0</v>
      </c>
      <c r="F24" s="5" t="s">
        <v>472</v>
      </c>
      <c r="G24" s="5" t="s">
        <v>444</v>
      </c>
    </row>
    <row r="25">
      <c r="A25" s="11">
        <v>46137.61666356481</v>
      </c>
      <c r="B25" s="5" t="s">
        <v>460</v>
      </c>
      <c r="C25" s="5" t="s">
        <v>461</v>
      </c>
      <c r="D25" s="5" t="s">
        <v>393</v>
      </c>
      <c r="E25" s="5">
        <v>25440.0</v>
      </c>
      <c r="F25" s="5" t="s">
        <v>473</v>
      </c>
      <c r="G25" s="5" t="s">
        <v>430</v>
      </c>
    </row>
    <row r="26">
      <c r="A26" s="11">
        <v>46137.6169575463</v>
      </c>
      <c r="B26" s="5" t="s">
        <v>460</v>
      </c>
      <c r="C26" s="5" t="s">
        <v>461</v>
      </c>
      <c r="D26" s="5" t="s">
        <v>393</v>
      </c>
      <c r="E26" s="5">
        <v>15420.0</v>
      </c>
      <c r="F26" s="5" t="s">
        <v>469</v>
      </c>
      <c r="G26" s="5" t="s">
        <v>422</v>
      </c>
    </row>
    <row r="27">
      <c r="A27" s="11">
        <v>46137.61747799769</v>
      </c>
      <c r="B27" s="5" t="s">
        <v>460</v>
      </c>
      <c r="C27" s="5" t="s">
        <v>461</v>
      </c>
      <c r="D27" s="5" t="s">
        <v>393</v>
      </c>
      <c r="E27" s="5">
        <v>25620.0</v>
      </c>
      <c r="F27" s="5" t="s">
        <v>474</v>
      </c>
      <c r="G27" s="5" t="s">
        <v>434</v>
      </c>
    </row>
    <row r="28">
      <c r="A28" s="11">
        <v>46137.617691770836</v>
      </c>
      <c r="B28" s="5" t="s">
        <v>460</v>
      </c>
      <c r="C28" s="5" t="s">
        <v>461</v>
      </c>
      <c r="D28" s="5" t="s">
        <v>393</v>
      </c>
      <c r="E28" s="5">
        <v>6000.0</v>
      </c>
      <c r="F28" s="5" t="s">
        <v>475</v>
      </c>
      <c r="G28" s="5" t="s">
        <v>444</v>
      </c>
    </row>
    <row r="29">
      <c r="A29" s="11">
        <v>46137.618137893514</v>
      </c>
      <c r="B29" s="5" t="s">
        <v>460</v>
      </c>
      <c r="C29" s="5" t="s">
        <v>461</v>
      </c>
      <c r="D29" s="5" t="s">
        <v>393</v>
      </c>
      <c r="E29" s="5">
        <v>17080.0</v>
      </c>
      <c r="F29" s="5" t="s">
        <v>467</v>
      </c>
      <c r="G29" s="5" t="s">
        <v>434</v>
      </c>
    </row>
    <row r="30">
      <c r="A30" s="11">
        <v>46137.61862258102</v>
      </c>
      <c r="B30" s="5" t="s">
        <v>460</v>
      </c>
      <c r="C30" s="5" t="s">
        <v>461</v>
      </c>
      <c r="D30" s="5" t="s">
        <v>393</v>
      </c>
      <c r="E30" s="5">
        <v>6740.0</v>
      </c>
      <c r="F30" s="5" t="s">
        <v>476</v>
      </c>
      <c r="G30" s="5" t="s">
        <v>23</v>
      </c>
    </row>
    <row r="31">
      <c r="A31" s="11">
        <v>46137.61952201389</v>
      </c>
      <c r="B31" s="5" t="s">
        <v>460</v>
      </c>
      <c r="C31" s="5" t="s">
        <v>461</v>
      </c>
      <c r="D31" s="5" t="s">
        <v>393</v>
      </c>
      <c r="E31" s="5">
        <v>11565.0</v>
      </c>
      <c r="F31" s="5" t="s">
        <v>465</v>
      </c>
      <c r="G31" s="5" t="s">
        <v>422</v>
      </c>
    </row>
    <row r="32">
      <c r="A32" s="11">
        <v>46137.62238635417</v>
      </c>
      <c r="B32" s="5" t="s">
        <v>460</v>
      </c>
      <c r="C32" s="5" t="s">
        <v>461</v>
      </c>
      <c r="D32" s="5" t="s">
        <v>393</v>
      </c>
      <c r="E32" s="5">
        <v>21500.0</v>
      </c>
      <c r="F32" s="5" t="s">
        <v>477</v>
      </c>
      <c r="G32" s="5" t="s">
        <v>426</v>
      </c>
    </row>
    <row r="33">
      <c r="A33" s="11">
        <v>46137.62315621528</v>
      </c>
      <c r="B33" s="5" t="s">
        <v>460</v>
      </c>
      <c r="C33" s="5" t="s">
        <v>461</v>
      </c>
      <c r="D33" s="5" t="s">
        <v>393</v>
      </c>
      <c r="E33" s="5">
        <v>16000.0</v>
      </c>
      <c r="F33" s="5" t="s">
        <v>478</v>
      </c>
      <c r="G33" s="5" t="s">
        <v>444</v>
      </c>
    </row>
    <row r="34">
      <c r="A34" s="11">
        <v>46137.623833668986</v>
      </c>
      <c r="B34" s="5" t="s">
        <v>460</v>
      </c>
      <c r="C34" s="5" t="s">
        <v>461</v>
      </c>
      <c r="D34" s="5" t="s">
        <v>393</v>
      </c>
      <c r="E34" s="5">
        <v>8000.0</v>
      </c>
      <c r="F34" s="5" t="s">
        <v>479</v>
      </c>
      <c r="G34" s="5" t="s">
        <v>444</v>
      </c>
    </row>
    <row r="35">
      <c r="A35" s="11">
        <v>46137.62499833333</v>
      </c>
      <c r="B35" s="5" t="s">
        <v>460</v>
      </c>
      <c r="C35" s="5" t="s">
        <v>461</v>
      </c>
      <c r="D35" s="5" t="s">
        <v>393</v>
      </c>
      <c r="E35" s="5">
        <v>10000.0</v>
      </c>
      <c r="F35" s="5" t="s">
        <v>472</v>
      </c>
      <c r="G35" s="5" t="s">
        <v>444</v>
      </c>
    </row>
    <row r="36">
      <c r="A36" s="11">
        <v>46137.62520340278</v>
      </c>
      <c r="B36" s="5" t="s">
        <v>460</v>
      </c>
      <c r="C36" s="5" t="s">
        <v>461</v>
      </c>
      <c r="D36" s="5" t="s">
        <v>393</v>
      </c>
      <c r="E36" s="5">
        <v>2000.0</v>
      </c>
      <c r="F36" s="5" t="s">
        <v>472</v>
      </c>
      <c r="G36" s="5" t="s">
        <v>444</v>
      </c>
    </row>
    <row r="37">
      <c r="A37" s="11">
        <v>46137.62564162037</v>
      </c>
      <c r="B37" s="5" t="s">
        <v>460</v>
      </c>
      <c r="C37" s="5" t="s">
        <v>461</v>
      </c>
      <c r="D37" s="5" t="s">
        <v>393</v>
      </c>
      <c r="E37" s="5">
        <v>10110.0</v>
      </c>
      <c r="F37" s="5" t="s">
        <v>480</v>
      </c>
      <c r="G37" s="5" t="s">
        <v>23</v>
      </c>
    </row>
    <row r="38">
      <c r="A38" s="11">
        <v>46137.62797002315</v>
      </c>
      <c r="B38" s="5" t="s">
        <v>460</v>
      </c>
      <c r="C38" s="5" t="s">
        <v>461</v>
      </c>
      <c r="D38" s="5" t="s">
        <v>393</v>
      </c>
      <c r="E38" s="5">
        <v>21500.0</v>
      </c>
      <c r="F38" s="5" t="s">
        <v>477</v>
      </c>
      <c r="G38" s="5" t="s">
        <v>426</v>
      </c>
    </row>
    <row r="39">
      <c r="A39" s="11">
        <v>46137.628724282404</v>
      </c>
      <c r="B39" s="5" t="s">
        <v>460</v>
      </c>
      <c r="C39" s="5" t="s">
        <v>461</v>
      </c>
      <c r="D39" s="5" t="s">
        <v>393</v>
      </c>
      <c r="E39" s="5">
        <v>26000.0</v>
      </c>
      <c r="F39" s="5" t="s">
        <v>481</v>
      </c>
      <c r="G39" s="5" t="s">
        <v>444</v>
      </c>
    </row>
    <row r="40">
      <c r="A40" s="11">
        <v>46137.62908532408</v>
      </c>
      <c r="B40" s="5" t="s">
        <v>460</v>
      </c>
      <c r="C40" s="5" t="s">
        <v>461</v>
      </c>
      <c r="D40" s="5" t="s">
        <v>393</v>
      </c>
      <c r="E40" s="5">
        <v>8000.0</v>
      </c>
      <c r="F40" s="5" t="s">
        <v>482</v>
      </c>
      <c r="G40" s="5" t="s">
        <v>444</v>
      </c>
    </row>
    <row r="41">
      <c r="A41" s="11">
        <v>46137.62956648148</v>
      </c>
      <c r="B41" s="5" t="s">
        <v>460</v>
      </c>
      <c r="C41" s="5" t="s">
        <v>461</v>
      </c>
      <c r="D41" s="5" t="s">
        <v>393</v>
      </c>
      <c r="E41" s="5">
        <v>7710.0</v>
      </c>
      <c r="F41" s="5" t="s">
        <v>483</v>
      </c>
      <c r="G41" s="5" t="s">
        <v>422</v>
      </c>
    </row>
    <row r="42">
      <c r="A42" s="11">
        <v>46137.63143395833</v>
      </c>
      <c r="B42" s="5" t="s">
        <v>460</v>
      </c>
      <c r="C42" s="5" t="s">
        <v>484</v>
      </c>
      <c r="D42" s="5" t="s">
        <v>391</v>
      </c>
      <c r="E42" s="5">
        <v>60000.0</v>
      </c>
      <c r="F42" s="5" t="s">
        <v>485</v>
      </c>
      <c r="G42" s="5" t="s">
        <v>441</v>
      </c>
    </row>
    <row r="43">
      <c r="A43" s="11">
        <v>46137.63338378472</v>
      </c>
      <c r="B43" s="5" t="s">
        <v>460</v>
      </c>
      <c r="C43" s="5" t="s">
        <v>484</v>
      </c>
      <c r="D43" s="5" t="s">
        <v>391</v>
      </c>
      <c r="E43" s="5">
        <v>36000.0</v>
      </c>
      <c r="F43" s="5" t="s">
        <v>486</v>
      </c>
      <c r="G43" s="5" t="s">
        <v>443</v>
      </c>
    </row>
    <row r="44">
      <c r="A44" s="11">
        <v>46137.63490413195</v>
      </c>
      <c r="B44" s="5" t="s">
        <v>460</v>
      </c>
      <c r="C44" s="5" t="s">
        <v>484</v>
      </c>
      <c r="D44" s="5" t="s">
        <v>391</v>
      </c>
      <c r="E44" s="5">
        <v>54000.0</v>
      </c>
      <c r="F44" s="5" t="s">
        <v>487</v>
      </c>
      <c r="G44" s="5" t="s">
        <v>443</v>
      </c>
    </row>
    <row r="45">
      <c r="A45" s="11">
        <v>46137.636872303236</v>
      </c>
      <c r="B45" s="5" t="s">
        <v>460</v>
      </c>
      <c r="C45" s="5" t="s">
        <v>484</v>
      </c>
      <c r="D45" s="5" t="s">
        <v>391</v>
      </c>
      <c r="E45" s="5">
        <v>52000.0</v>
      </c>
      <c r="F45" s="5" t="s">
        <v>488</v>
      </c>
      <c r="G45" s="5" t="s">
        <v>440</v>
      </c>
    </row>
    <row r="46">
      <c r="A46" s="11">
        <v>46137.63860777778</v>
      </c>
      <c r="B46" s="5" t="s">
        <v>460</v>
      </c>
      <c r="C46" s="5" t="s">
        <v>484</v>
      </c>
      <c r="D46" s="5" t="s">
        <v>391</v>
      </c>
      <c r="E46" s="5">
        <v>48000.0</v>
      </c>
      <c r="F46" s="5" t="s">
        <v>489</v>
      </c>
      <c r="G46" s="5" t="s">
        <v>443</v>
      </c>
    </row>
    <row r="47">
      <c r="A47" s="11">
        <v>46137.63993341435</v>
      </c>
      <c r="B47" s="5" t="s">
        <v>460</v>
      </c>
      <c r="C47" s="5" t="s">
        <v>484</v>
      </c>
      <c r="D47" s="5" t="s">
        <v>391</v>
      </c>
      <c r="E47" s="5">
        <v>3170.0</v>
      </c>
      <c r="F47" s="5" t="s">
        <v>490</v>
      </c>
      <c r="G47" s="5" t="s">
        <v>408</v>
      </c>
    </row>
    <row r="48">
      <c r="A48" s="11">
        <v>46137.641716134254</v>
      </c>
      <c r="B48" s="5" t="s">
        <v>460</v>
      </c>
      <c r="C48" s="5" t="s">
        <v>484</v>
      </c>
      <c r="D48" s="5" t="s">
        <v>391</v>
      </c>
      <c r="E48" s="5">
        <v>64000.0</v>
      </c>
      <c r="F48" s="5" t="s">
        <v>491</v>
      </c>
      <c r="G48" s="5" t="s">
        <v>442</v>
      </c>
    </row>
    <row r="49">
      <c r="A49" s="11">
        <v>46137.642762511576</v>
      </c>
      <c r="B49" s="5" t="s">
        <v>460</v>
      </c>
      <c r="C49" s="5" t="s">
        <v>484</v>
      </c>
      <c r="D49" s="5" t="s">
        <v>391</v>
      </c>
      <c r="E49" s="5">
        <v>3170.0</v>
      </c>
      <c r="F49" s="5" t="s">
        <v>490</v>
      </c>
      <c r="G49" s="5" t="s">
        <v>408</v>
      </c>
    </row>
    <row r="50">
      <c r="A50" s="11">
        <v>46137.64347105324</v>
      </c>
      <c r="B50" s="5" t="s">
        <v>460</v>
      </c>
      <c r="C50" s="5" t="s">
        <v>484</v>
      </c>
      <c r="D50" s="5" t="s">
        <v>391</v>
      </c>
      <c r="E50" s="5">
        <v>57000.0</v>
      </c>
      <c r="F50" s="5" t="s">
        <v>492</v>
      </c>
      <c r="G50" s="5" t="s">
        <v>443</v>
      </c>
    </row>
    <row r="51">
      <c r="A51" s="11">
        <v>46137.64391255787</v>
      </c>
      <c r="B51" s="5" t="s">
        <v>460</v>
      </c>
      <c r="C51" s="5" t="s">
        <v>484</v>
      </c>
      <c r="D51" s="5" t="s">
        <v>391</v>
      </c>
      <c r="E51" s="5">
        <v>17020.0</v>
      </c>
      <c r="F51" s="5" t="s">
        <v>493</v>
      </c>
      <c r="G51" s="5" t="s">
        <v>435</v>
      </c>
    </row>
    <row r="52">
      <c r="A52" s="11">
        <v>46137.64442585648</v>
      </c>
      <c r="B52" s="5" t="s">
        <v>460</v>
      </c>
      <c r="C52" s="5" t="s">
        <v>484</v>
      </c>
      <c r="D52" s="5" t="s">
        <v>391</v>
      </c>
      <c r="E52" s="5">
        <v>60000.0</v>
      </c>
      <c r="F52" s="5" t="s">
        <v>494</v>
      </c>
      <c r="G52" s="5" t="s">
        <v>443</v>
      </c>
    </row>
    <row r="53">
      <c r="A53" s="11">
        <v>46137.64484166667</v>
      </c>
      <c r="B53" s="5" t="s">
        <v>460</v>
      </c>
      <c r="C53" s="5" t="s">
        <v>484</v>
      </c>
      <c r="D53" s="5" t="s">
        <v>391</v>
      </c>
      <c r="E53" s="5">
        <v>16840.0</v>
      </c>
      <c r="F53" s="5" t="s">
        <v>495</v>
      </c>
      <c r="G53" s="5" t="s">
        <v>429</v>
      </c>
    </row>
    <row r="54">
      <c r="A54" s="11">
        <v>46137.64550986111</v>
      </c>
      <c r="B54" s="5" t="s">
        <v>460</v>
      </c>
      <c r="C54" s="5" t="s">
        <v>484</v>
      </c>
      <c r="D54" s="5" t="s">
        <v>391</v>
      </c>
      <c r="E54" s="5">
        <v>7110.0</v>
      </c>
      <c r="F54" s="5" t="s">
        <v>496</v>
      </c>
      <c r="G54" s="5" t="s">
        <v>418</v>
      </c>
    </row>
    <row r="55">
      <c r="A55" s="11">
        <v>46137.64647918982</v>
      </c>
      <c r="B55" s="5" t="s">
        <v>460</v>
      </c>
      <c r="C55" s="5" t="s">
        <v>484</v>
      </c>
      <c r="D55" s="5" t="s">
        <v>391</v>
      </c>
      <c r="E55" s="5">
        <v>80000.0</v>
      </c>
      <c r="F55" s="5" t="s">
        <v>497</v>
      </c>
      <c r="G55" s="5" t="s">
        <v>442</v>
      </c>
    </row>
    <row r="56">
      <c r="A56" s="11">
        <v>46137.64787302083</v>
      </c>
      <c r="B56" s="5" t="s">
        <v>460</v>
      </c>
      <c r="C56" s="5" t="s">
        <v>484</v>
      </c>
      <c r="D56" s="5" t="s">
        <v>391</v>
      </c>
      <c r="E56" s="5">
        <v>11655.0</v>
      </c>
      <c r="F56" s="5" t="s">
        <v>498</v>
      </c>
      <c r="G56" s="5" t="s">
        <v>421</v>
      </c>
    </row>
    <row r="57">
      <c r="A57" s="11">
        <v>46137.648090601855</v>
      </c>
      <c r="B57" s="5" t="s">
        <v>460</v>
      </c>
      <c r="C57" s="5" t="s">
        <v>484</v>
      </c>
      <c r="D57" s="5" t="s">
        <v>391</v>
      </c>
      <c r="E57" s="5">
        <v>57000.0</v>
      </c>
      <c r="F57" s="5" t="s">
        <v>492</v>
      </c>
      <c r="G57" s="5" t="s">
        <v>443</v>
      </c>
    </row>
    <row r="58">
      <c r="A58" s="11">
        <v>46137.649156851854</v>
      </c>
      <c r="B58" s="5" t="s">
        <v>460</v>
      </c>
      <c r="C58" s="5" t="s">
        <v>484</v>
      </c>
      <c r="D58" s="5" t="s">
        <v>391</v>
      </c>
      <c r="E58" s="5">
        <v>76000.0</v>
      </c>
      <c r="F58" s="5" t="s">
        <v>499</v>
      </c>
      <c r="G58" s="5" t="s">
        <v>440</v>
      </c>
    </row>
    <row r="59">
      <c r="A59" s="11">
        <v>46137.64956777778</v>
      </c>
      <c r="B59" s="5" t="s">
        <v>460</v>
      </c>
      <c r="C59" s="5" t="s">
        <v>484</v>
      </c>
      <c r="D59" s="5" t="s">
        <v>391</v>
      </c>
      <c r="E59" s="5">
        <v>16840.0</v>
      </c>
      <c r="F59" s="5" t="s">
        <v>495</v>
      </c>
      <c r="G59" s="5" t="s">
        <v>429</v>
      </c>
    </row>
    <row r="60">
      <c r="A60" s="11">
        <v>46137.64973434027</v>
      </c>
      <c r="B60" s="5" t="s">
        <v>460</v>
      </c>
      <c r="C60" s="5" t="s">
        <v>484</v>
      </c>
      <c r="D60" s="5" t="s">
        <v>391</v>
      </c>
      <c r="E60" s="5">
        <v>11655.0</v>
      </c>
      <c r="F60" s="5" t="s">
        <v>498</v>
      </c>
      <c r="G60" s="5" t="s">
        <v>421</v>
      </c>
    </row>
    <row r="61">
      <c r="A61" s="11">
        <v>46137.649983055555</v>
      </c>
      <c r="B61" s="5" t="s">
        <v>460</v>
      </c>
      <c r="C61" s="5" t="s">
        <v>484</v>
      </c>
      <c r="D61" s="5" t="s">
        <v>391</v>
      </c>
      <c r="E61" s="5">
        <v>36000.0</v>
      </c>
      <c r="F61" s="5" t="s">
        <v>500</v>
      </c>
      <c r="G61" s="5" t="s">
        <v>443</v>
      </c>
    </row>
    <row r="62">
      <c r="A62" s="11">
        <v>46137.65097966435</v>
      </c>
      <c r="B62" s="5" t="s">
        <v>460</v>
      </c>
      <c r="C62" s="5" t="s">
        <v>484</v>
      </c>
      <c r="D62" s="5" t="s">
        <v>391</v>
      </c>
      <c r="E62" s="5">
        <v>60000.0</v>
      </c>
      <c r="F62" s="5" t="s">
        <v>494</v>
      </c>
      <c r="G62" s="5" t="s">
        <v>441</v>
      </c>
    </row>
    <row r="63">
      <c r="A63" s="11">
        <v>46137.656441307874</v>
      </c>
      <c r="B63" s="5" t="s">
        <v>460</v>
      </c>
      <c r="C63" s="5" t="s">
        <v>501</v>
      </c>
      <c r="D63" s="5" t="s">
        <v>389</v>
      </c>
      <c r="E63" s="5">
        <v>56000.0</v>
      </c>
      <c r="F63" s="5" t="s">
        <v>502</v>
      </c>
      <c r="G63" s="5" t="s">
        <v>442</v>
      </c>
    </row>
    <row r="64">
      <c r="A64" s="11">
        <v>46137.65687028936</v>
      </c>
      <c r="B64" s="5" t="s">
        <v>460</v>
      </c>
      <c r="C64" s="5" t="s">
        <v>501</v>
      </c>
      <c r="D64" s="5" t="s">
        <v>389</v>
      </c>
      <c r="E64" s="5">
        <v>11475.0</v>
      </c>
      <c r="F64" s="5" t="s">
        <v>503</v>
      </c>
      <c r="G64" s="5" t="s">
        <v>423</v>
      </c>
    </row>
    <row r="65">
      <c r="A65" s="11">
        <v>46137.657434733796</v>
      </c>
      <c r="B65" s="5" t="s">
        <v>460</v>
      </c>
      <c r="C65" s="5" t="s">
        <v>501</v>
      </c>
      <c r="D65" s="5" t="s">
        <v>389</v>
      </c>
      <c r="E65" s="5">
        <v>60000.0</v>
      </c>
      <c r="F65" s="5" t="s">
        <v>494</v>
      </c>
      <c r="G65" s="5" t="s">
        <v>441</v>
      </c>
    </row>
    <row r="66">
      <c r="A66" s="11">
        <v>46137.65769453703</v>
      </c>
      <c r="B66" s="5" t="s">
        <v>460</v>
      </c>
      <c r="C66" s="5" t="s">
        <v>501</v>
      </c>
      <c r="D66" s="5" t="s">
        <v>389</v>
      </c>
      <c r="E66" s="5">
        <v>76000.0</v>
      </c>
      <c r="F66" s="5" t="s">
        <v>499</v>
      </c>
      <c r="G66" s="5" t="s">
        <v>440</v>
      </c>
    </row>
    <row r="67">
      <c r="A67" s="11">
        <v>46137.65868494213</v>
      </c>
      <c r="B67" s="5" t="s">
        <v>460</v>
      </c>
      <c r="C67" s="5" t="s">
        <v>501</v>
      </c>
      <c r="D67" s="5" t="s">
        <v>389</v>
      </c>
      <c r="E67" s="5">
        <v>64000.0</v>
      </c>
      <c r="F67" s="5" t="s">
        <v>504</v>
      </c>
      <c r="G67" s="5" t="s">
        <v>439</v>
      </c>
    </row>
    <row r="68">
      <c r="A68" s="11">
        <v>46137.659092013884</v>
      </c>
      <c r="B68" s="5" t="s">
        <v>460</v>
      </c>
      <c r="C68" s="5" t="s">
        <v>501</v>
      </c>
      <c r="D68" s="5" t="s">
        <v>389</v>
      </c>
      <c r="E68" s="5">
        <v>60000.0</v>
      </c>
      <c r="F68" s="5" t="s">
        <v>505</v>
      </c>
      <c r="G68" s="5" t="s">
        <v>442</v>
      </c>
    </row>
    <row r="69">
      <c r="A69" s="11">
        <v>46137.65945934028</v>
      </c>
      <c r="B69" s="5" t="s">
        <v>460</v>
      </c>
      <c r="C69" s="5" t="s">
        <v>501</v>
      </c>
      <c r="D69" s="5" t="s">
        <v>389</v>
      </c>
      <c r="E69" s="5">
        <v>54000.0</v>
      </c>
      <c r="F69" s="5" t="s">
        <v>506</v>
      </c>
      <c r="G69" s="5" t="s">
        <v>441</v>
      </c>
    </row>
    <row r="70">
      <c r="A70" s="11">
        <v>46137.662988993055</v>
      </c>
      <c r="B70" s="5" t="s">
        <v>460</v>
      </c>
      <c r="C70" s="5" t="s">
        <v>501</v>
      </c>
      <c r="D70" s="5" t="s">
        <v>389</v>
      </c>
      <c r="E70" s="5">
        <v>16960.0</v>
      </c>
      <c r="F70" s="5" t="s">
        <v>463</v>
      </c>
      <c r="G70" s="5" t="s">
        <v>430</v>
      </c>
    </row>
    <row r="71">
      <c r="A71" s="11">
        <v>46137.66344224537</v>
      </c>
      <c r="B71" s="5" t="s">
        <v>460</v>
      </c>
      <c r="C71" s="5" t="s">
        <v>501</v>
      </c>
      <c r="D71" s="5" t="s">
        <v>389</v>
      </c>
      <c r="E71" s="5">
        <v>45000.0</v>
      </c>
      <c r="F71" s="5" t="s">
        <v>507</v>
      </c>
      <c r="G71" s="5" t="s">
        <v>441</v>
      </c>
    </row>
    <row r="72">
      <c r="A72" s="11">
        <v>46137.66382678241</v>
      </c>
      <c r="B72" s="5" t="s">
        <v>460</v>
      </c>
      <c r="C72" s="5" t="s">
        <v>501</v>
      </c>
      <c r="D72" s="5" t="s">
        <v>389</v>
      </c>
      <c r="E72" s="5">
        <v>51000.0</v>
      </c>
      <c r="F72" s="5" t="s">
        <v>508</v>
      </c>
      <c r="G72" s="5" t="s">
        <v>443</v>
      </c>
    </row>
    <row r="73">
      <c r="A73" s="11">
        <v>46137.664380277776</v>
      </c>
      <c r="B73" s="5" t="s">
        <v>460</v>
      </c>
      <c r="C73" s="5" t="s">
        <v>501</v>
      </c>
      <c r="D73" s="5" t="s">
        <v>389</v>
      </c>
      <c r="E73" s="5">
        <v>30000.0</v>
      </c>
      <c r="F73" s="5" t="s">
        <v>509</v>
      </c>
      <c r="G73" s="5" t="s">
        <v>441</v>
      </c>
    </row>
    <row r="74">
      <c r="A74" s="11">
        <v>46137.66486099537</v>
      </c>
      <c r="B74" s="5" t="s">
        <v>460</v>
      </c>
      <c r="C74" s="5" t="s">
        <v>501</v>
      </c>
      <c r="D74" s="5" t="s">
        <v>389</v>
      </c>
      <c r="E74" s="5">
        <v>30000.0</v>
      </c>
      <c r="F74" s="5" t="s">
        <v>509</v>
      </c>
      <c r="G74" s="5" t="s">
        <v>443</v>
      </c>
    </row>
    <row r="75">
      <c r="A75" s="11">
        <v>46137.66530122685</v>
      </c>
      <c r="B75" s="5" t="s">
        <v>460</v>
      </c>
      <c r="C75" s="5" t="s">
        <v>501</v>
      </c>
      <c r="D75" s="5" t="s">
        <v>389</v>
      </c>
      <c r="E75" s="5">
        <v>15300.0</v>
      </c>
      <c r="F75" s="5" t="s">
        <v>510</v>
      </c>
      <c r="G75" s="5" t="s">
        <v>423</v>
      </c>
    </row>
    <row r="76">
      <c r="A76" s="11">
        <v>46137.66585024305</v>
      </c>
      <c r="B76" s="5" t="s">
        <v>460</v>
      </c>
      <c r="C76" s="5" t="s">
        <v>501</v>
      </c>
      <c r="D76" s="5" t="s">
        <v>389</v>
      </c>
      <c r="E76" s="5">
        <v>42000.0</v>
      </c>
      <c r="F76" s="5" t="s">
        <v>511</v>
      </c>
      <c r="G76" s="5" t="s">
        <v>443</v>
      </c>
    </row>
    <row r="77">
      <c r="A77" s="11">
        <v>46137.666273333336</v>
      </c>
      <c r="B77" s="5" t="s">
        <v>460</v>
      </c>
      <c r="C77" s="5" t="s">
        <v>501</v>
      </c>
      <c r="D77" s="5" t="s">
        <v>389</v>
      </c>
      <c r="E77" s="5">
        <v>10620.0</v>
      </c>
      <c r="F77" s="5" t="s">
        <v>512</v>
      </c>
      <c r="G77" s="5" t="s">
        <v>419</v>
      </c>
    </row>
    <row r="78">
      <c r="A78" s="11">
        <v>46137.66678712963</v>
      </c>
      <c r="B78" s="5" t="s">
        <v>460</v>
      </c>
      <c r="C78" s="5" t="s">
        <v>501</v>
      </c>
      <c r="D78" s="5" t="s">
        <v>389</v>
      </c>
      <c r="E78" s="5">
        <v>39000.0</v>
      </c>
      <c r="F78" s="5" t="s">
        <v>513</v>
      </c>
      <c r="G78" s="5" t="s">
        <v>443</v>
      </c>
    </row>
    <row r="79">
      <c r="A79" s="11">
        <v>46137.66901884259</v>
      </c>
      <c r="B79" s="5" t="s">
        <v>460</v>
      </c>
      <c r="C79" s="5" t="s">
        <v>501</v>
      </c>
      <c r="D79" s="5" t="s">
        <v>389</v>
      </c>
      <c r="E79" s="5">
        <v>17080.0</v>
      </c>
      <c r="F79" s="5" t="s">
        <v>467</v>
      </c>
      <c r="G79" s="5" t="s">
        <v>434</v>
      </c>
    </row>
    <row r="80">
      <c r="A80" s="11">
        <v>46137.66914903936</v>
      </c>
      <c r="B80" s="5" t="s">
        <v>460</v>
      </c>
      <c r="C80" s="5" t="s">
        <v>501</v>
      </c>
      <c r="D80" s="5" t="s">
        <v>389</v>
      </c>
      <c r="E80" s="5">
        <v>60000.0</v>
      </c>
      <c r="F80" s="5" t="s">
        <v>505</v>
      </c>
      <c r="G80" s="5" t="s">
        <v>441</v>
      </c>
    </row>
    <row r="81">
      <c r="A81" s="11">
        <v>46137.670794907404</v>
      </c>
      <c r="B81" s="5" t="s">
        <v>460</v>
      </c>
      <c r="C81" s="5" t="s">
        <v>501</v>
      </c>
      <c r="D81" s="5" t="s">
        <v>389</v>
      </c>
      <c r="E81" s="5">
        <v>21200.0</v>
      </c>
      <c r="F81" s="5" t="s">
        <v>468</v>
      </c>
      <c r="G81" s="5" t="s">
        <v>430</v>
      </c>
    </row>
    <row r="82">
      <c r="A82" s="11">
        <v>46137.67092626158</v>
      </c>
      <c r="B82" s="5" t="s">
        <v>460</v>
      </c>
      <c r="C82" s="5" t="s">
        <v>501</v>
      </c>
      <c r="D82" s="5" t="s">
        <v>389</v>
      </c>
      <c r="E82" s="5">
        <v>51000.0</v>
      </c>
      <c r="F82" s="5" t="s">
        <v>508</v>
      </c>
      <c r="G82" s="5" t="s">
        <v>443</v>
      </c>
    </row>
    <row r="83">
      <c r="A83" s="11">
        <v>46137.673001041665</v>
      </c>
      <c r="B83" s="5" t="s">
        <v>460</v>
      </c>
      <c r="C83" s="5" t="s">
        <v>501</v>
      </c>
      <c r="D83" s="5" t="s">
        <v>389</v>
      </c>
      <c r="E83" s="5">
        <v>51000.0</v>
      </c>
      <c r="F83" s="5" t="s">
        <v>508</v>
      </c>
      <c r="G83" s="5" t="s">
        <v>443</v>
      </c>
    </row>
    <row r="84">
      <c r="A84" s="11">
        <v>46137.6758012037</v>
      </c>
      <c r="B84" s="5" t="s">
        <v>460</v>
      </c>
      <c r="C84" s="5" t="s">
        <v>501</v>
      </c>
      <c r="D84" s="5" t="s">
        <v>389</v>
      </c>
      <c r="E84" s="5">
        <v>60000.0</v>
      </c>
      <c r="F84" s="5" t="s">
        <v>505</v>
      </c>
      <c r="G84" s="5" t="s">
        <v>443</v>
      </c>
    </row>
    <row r="85">
      <c r="A85" s="11">
        <v>46137.678084479165</v>
      </c>
      <c r="B85" s="5" t="s">
        <v>460</v>
      </c>
      <c r="C85" s="5" t="s">
        <v>501</v>
      </c>
      <c r="D85" s="5" t="s">
        <v>389</v>
      </c>
      <c r="E85" s="5">
        <v>57000.0</v>
      </c>
      <c r="F85" s="5" t="s">
        <v>492</v>
      </c>
      <c r="G85" s="5" t="s">
        <v>436</v>
      </c>
    </row>
    <row r="86">
      <c r="A86" s="11">
        <v>46137.71543805556</v>
      </c>
      <c r="B86" s="5" t="s">
        <v>514</v>
      </c>
      <c r="C86" s="5" t="s">
        <v>501</v>
      </c>
      <c r="D86" s="5" t="s">
        <v>389</v>
      </c>
      <c r="E86" s="5">
        <v>60000.0</v>
      </c>
      <c r="F86" s="5" t="s">
        <v>505</v>
      </c>
      <c r="G86" s="5" t="s">
        <v>430</v>
      </c>
    </row>
    <row r="87">
      <c r="A87" s="11">
        <v>46137.71757158564</v>
      </c>
      <c r="B87" s="5" t="s">
        <v>460</v>
      </c>
      <c r="C87" s="5" t="s">
        <v>501</v>
      </c>
      <c r="D87" s="5" t="s">
        <v>389</v>
      </c>
      <c r="E87" s="5">
        <v>15300.0</v>
      </c>
      <c r="F87" s="5" t="s">
        <v>510</v>
      </c>
      <c r="G87" s="5" t="s">
        <v>423</v>
      </c>
    </row>
    <row r="88">
      <c r="A88" s="11">
        <v>46137.718891655095</v>
      </c>
      <c r="B88" s="5" t="s">
        <v>460</v>
      </c>
      <c r="C88" s="5" t="s">
        <v>501</v>
      </c>
      <c r="D88" s="5" t="s">
        <v>389</v>
      </c>
      <c r="E88" s="5">
        <v>39000.0</v>
      </c>
      <c r="F88" s="5" t="s">
        <v>513</v>
      </c>
      <c r="G88" s="5" t="s">
        <v>441</v>
      </c>
    </row>
    <row r="89">
      <c r="A89" s="11">
        <v>46137.719126516204</v>
      </c>
      <c r="B89" s="5" t="s">
        <v>460</v>
      </c>
      <c r="C89" s="5" t="s">
        <v>501</v>
      </c>
      <c r="D89" s="5" t="s">
        <v>389</v>
      </c>
      <c r="E89" s="5">
        <v>45000.0</v>
      </c>
      <c r="F89" s="5" t="s">
        <v>507</v>
      </c>
      <c r="G89" s="5" t="s">
        <v>441</v>
      </c>
    </row>
    <row r="90">
      <c r="A90" s="11">
        <v>46137.719739479166</v>
      </c>
      <c r="B90" s="5" t="s">
        <v>460</v>
      </c>
      <c r="C90" s="5" t="s">
        <v>501</v>
      </c>
      <c r="D90" s="5" t="s">
        <v>389</v>
      </c>
      <c r="E90" s="5">
        <v>51000.0</v>
      </c>
      <c r="F90" s="5" t="s">
        <v>508</v>
      </c>
      <c r="G90" s="5" t="s">
        <v>443</v>
      </c>
    </row>
    <row r="91">
      <c r="A91" s="11">
        <v>46137.73468836806</v>
      </c>
      <c r="B91" s="5" t="s">
        <v>460</v>
      </c>
      <c r="C91" s="5" t="s">
        <v>501</v>
      </c>
      <c r="D91" s="5" t="s">
        <v>389</v>
      </c>
      <c r="E91" s="5">
        <v>48000.0</v>
      </c>
      <c r="F91" s="5" t="s">
        <v>515</v>
      </c>
      <c r="G91" s="5" t="s">
        <v>443</v>
      </c>
    </row>
    <row r="92">
      <c r="A92" s="11">
        <v>46137.74770086806</v>
      </c>
      <c r="B92" s="5" t="s">
        <v>514</v>
      </c>
      <c r="C92" s="5" t="s">
        <v>501</v>
      </c>
      <c r="D92" s="5" t="s">
        <v>389</v>
      </c>
      <c r="E92" s="5">
        <v>33000.0</v>
      </c>
      <c r="F92" s="5" t="s">
        <v>516</v>
      </c>
      <c r="G92" s="5" t="s">
        <v>443</v>
      </c>
    </row>
    <row r="93">
      <c r="A93" s="11">
        <v>46137.74851450232</v>
      </c>
      <c r="B93" s="5" t="s">
        <v>514</v>
      </c>
      <c r="C93" s="5" t="s">
        <v>501</v>
      </c>
      <c r="D93" s="5" t="s">
        <v>389</v>
      </c>
      <c r="E93" s="5">
        <v>72000.0</v>
      </c>
      <c r="F93" s="5" t="s">
        <v>517</v>
      </c>
      <c r="G93" s="5" t="s">
        <v>440</v>
      </c>
    </row>
    <row r="94">
      <c r="A94" s="11">
        <v>46137.749481875</v>
      </c>
      <c r="B94" s="5" t="s">
        <v>514</v>
      </c>
      <c r="C94" s="5" t="s">
        <v>501</v>
      </c>
      <c r="D94" s="5" t="s">
        <v>389</v>
      </c>
      <c r="E94" s="5">
        <v>10620.0</v>
      </c>
      <c r="F94" s="5" t="s">
        <v>512</v>
      </c>
      <c r="G94" s="5" t="s">
        <v>419</v>
      </c>
    </row>
    <row r="95">
      <c r="A95" s="11">
        <v>46137.75255125</v>
      </c>
      <c r="B95" s="5" t="s">
        <v>514</v>
      </c>
      <c r="C95" s="5" t="s">
        <v>501</v>
      </c>
      <c r="D95" s="5" t="s">
        <v>389</v>
      </c>
      <c r="E95" s="5">
        <v>80000.0</v>
      </c>
      <c r="F95" s="5" t="s">
        <v>518</v>
      </c>
      <c r="G95" s="5" t="s">
        <v>441</v>
      </c>
    </row>
    <row r="96">
      <c r="A96" s="11">
        <v>46137.753089351856</v>
      </c>
      <c r="B96" s="5" t="s">
        <v>514</v>
      </c>
      <c r="C96" s="5" t="s">
        <v>501</v>
      </c>
      <c r="D96" s="5" t="s">
        <v>389</v>
      </c>
      <c r="E96" s="5">
        <v>64000.0</v>
      </c>
      <c r="F96" s="5" t="s">
        <v>504</v>
      </c>
      <c r="G96" s="5" t="s">
        <v>440</v>
      </c>
    </row>
    <row r="97">
      <c r="A97" s="11">
        <v>46138.41162517361</v>
      </c>
      <c r="B97" s="5" t="s">
        <v>519</v>
      </c>
      <c r="C97" s="5" t="s">
        <v>520</v>
      </c>
      <c r="D97" s="5" t="s">
        <v>199</v>
      </c>
      <c r="F97" s="5" t="s">
        <v>457</v>
      </c>
      <c r="G97" s="5" t="s">
        <v>435</v>
      </c>
    </row>
    <row r="98">
      <c r="A98" s="11">
        <v>46138.81102277778</v>
      </c>
      <c r="B98" s="5" t="s">
        <v>521</v>
      </c>
      <c r="C98" s="5" t="s">
        <v>522</v>
      </c>
      <c r="D98" s="5" t="s">
        <v>163</v>
      </c>
      <c r="E98" s="5">
        <v>7080.0</v>
      </c>
      <c r="F98" s="5" t="s">
        <v>457</v>
      </c>
      <c r="G98" s="5" t="s">
        <v>419</v>
      </c>
    </row>
    <row r="99">
      <c r="A99" s="11">
        <v>46138.8115387963</v>
      </c>
      <c r="B99" s="5" t="s">
        <v>458</v>
      </c>
      <c r="C99" s="5" t="s">
        <v>523</v>
      </c>
      <c r="D99" s="5" t="s">
        <v>202</v>
      </c>
      <c r="E99" s="5">
        <v>3170.0</v>
      </c>
      <c r="F99" s="5" t="s">
        <v>457</v>
      </c>
      <c r="G99" s="5" t="s">
        <v>408</v>
      </c>
    </row>
    <row r="100">
      <c r="A100" s="11">
        <v>46138.83813488426</v>
      </c>
      <c r="B100" s="5" t="s">
        <v>458</v>
      </c>
      <c r="C100" s="5" t="s">
        <v>524</v>
      </c>
      <c r="D100" s="5" t="s">
        <v>197</v>
      </c>
      <c r="E100" s="5">
        <v>11520.0</v>
      </c>
      <c r="F100" s="5" t="s">
        <v>457</v>
      </c>
      <c r="G100" s="5" t="s">
        <v>447</v>
      </c>
    </row>
    <row r="101">
      <c r="A101" s="11">
        <v>46138.83888130787</v>
      </c>
      <c r="B101" s="5" t="s">
        <v>458</v>
      </c>
      <c r="C101" s="5" t="s">
        <v>524</v>
      </c>
      <c r="D101" s="5" t="s">
        <v>197</v>
      </c>
      <c r="E101" s="5">
        <v>10755.0</v>
      </c>
      <c r="F101" s="5" t="s">
        <v>525</v>
      </c>
      <c r="G101" s="5" t="s">
        <v>414</v>
      </c>
    </row>
    <row r="102">
      <c r="A102" s="11">
        <v>46138.89622197917</v>
      </c>
      <c r="B102" s="5" t="s">
        <v>458</v>
      </c>
      <c r="C102" s="5" t="s">
        <v>526</v>
      </c>
      <c r="D102" s="5" t="s">
        <v>181</v>
      </c>
      <c r="E102" s="5">
        <v>19200.0</v>
      </c>
      <c r="F102" s="5" t="s">
        <v>527</v>
      </c>
      <c r="G102" s="5" t="s">
        <v>447</v>
      </c>
    </row>
    <row r="103">
      <c r="A103" s="11">
        <v>46138.897058692135</v>
      </c>
      <c r="B103" s="5" t="s">
        <v>458</v>
      </c>
      <c r="C103" s="5" t="s">
        <v>526</v>
      </c>
      <c r="D103" s="5" t="s">
        <v>181</v>
      </c>
      <c r="E103" s="5">
        <v>7170.0</v>
      </c>
      <c r="F103" s="5" t="s">
        <v>528</v>
      </c>
      <c r="G103" s="5" t="s">
        <v>414</v>
      </c>
    </row>
    <row r="104">
      <c r="A104" s="11">
        <v>46139.777691446754</v>
      </c>
      <c r="B104" s="5" t="s">
        <v>514</v>
      </c>
      <c r="C104" s="5" t="s">
        <v>529</v>
      </c>
      <c r="D104" s="5" t="s">
        <v>193</v>
      </c>
      <c r="E104" s="5">
        <v>48000.0</v>
      </c>
      <c r="F104" s="5" t="s">
        <v>515</v>
      </c>
      <c r="G104" s="5" t="s">
        <v>441</v>
      </c>
    </row>
    <row r="105">
      <c r="A105" s="11">
        <v>46139.915467812505</v>
      </c>
      <c r="B105" s="5" t="s">
        <v>530</v>
      </c>
      <c r="C105" s="5" t="s">
        <v>520</v>
      </c>
      <c r="D105" s="5" t="s">
        <v>199</v>
      </c>
      <c r="E105" s="5">
        <v>19275.0</v>
      </c>
      <c r="F105" s="5" t="s">
        <v>470</v>
      </c>
      <c r="G105" s="5" t="s">
        <v>422</v>
      </c>
    </row>
    <row r="106">
      <c r="A106" s="11">
        <v>46139.93150491898</v>
      </c>
      <c r="B106" s="5" t="s">
        <v>530</v>
      </c>
      <c r="C106" s="5" t="s">
        <v>520</v>
      </c>
      <c r="D106" s="5" t="s">
        <v>199</v>
      </c>
      <c r="E106" s="5">
        <v>21425.0</v>
      </c>
      <c r="F106" s="5" t="s">
        <v>531</v>
      </c>
      <c r="G106" s="5" t="s">
        <v>431</v>
      </c>
    </row>
    <row r="107">
      <c r="A107" s="11">
        <v>46139.93264050926</v>
      </c>
      <c r="B107" s="5" t="s">
        <v>530</v>
      </c>
      <c r="C107" s="5" t="s">
        <v>520</v>
      </c>
      <c r="D107" s="5" t="s">
        <v>199</v>
      </c>
      <c r="E107" s="5">
        <v>7080.0</v>
      </c>
      <c r="F107" s="5" t="s">
        <v>532</v>
      </c>
      <c r="G107" s="5" t="s">
        <v>419</v>
      </c>
    </row>
    <row r="108">
      <c r="A108" s="11">
        <v>46139.9516040625</v>
      </c>
      <c r="B108" s="5" t="s">
        <v>514</v>
      </c>
      <c r="C108" s="5" t="s">
        <v>501</v>
      </c>
      <c r="D108" s="5" t="s">
        <v>389</v>
      </c>
      <c r="E108" s="5">
        <v>60000.0</v>
      </c>
      <c r="F108" s="5" t="s">
        <v>505</v>
      </c>
      <c r="G108" s="5" t="s">
        <v>443</v>
      </c>
    </row>
    <row r="109">
      <c r="A109" s="11">
        <v>46139.967635497684</v>
      </c>
      <c r="B109" s="5" t="s">
        <v>514</v>
      </c>
      <c r="C109" s="5" t="s">
        <v>501</v>
      </c>
      <c r="D109" s="5" t="s">
        <v>389</v>
      </c>
      <c r="E109" s="5">
        <v>3170.0</v>
      </c>
      <c r="F109" s="5" t="s">
        <v>490</v>
      </c>
      <c r="G109" s="5" t="s">
        <v>408</v>
      </c>
    </row>
    <row r="110">
      <c r="A110" s="11">
        <v>46139.96920813658</v>
      </c>
      <c r="B110" s="5" t="s">
        <v>514</v>
      </c>
      <c r="C110" s="5" t="s">
        <v>501</v>
      </c>
      <c r="D110" s="5" t="s">
        <v>389</v>
      </c>
      <c r="E110" s="5">
        <v>45000.0</v>
      </c>
      <c r="F110" s="5" t="s">
        <v>507</v>
      </c>
      <c r="G110" s="5" t="s">
        <v>441</v>
      </c>
    </row>
    <row r="111">
      <c r="A111" s="11">
        <v>46139.96966552083</v>
      </c>
      <c r="B111" s="5" t="s">
        <v>514</v>
      </c>
      <c r="C111" s="5" t="s">
        <v>501</v>
      </c>
      <c r="D111" s="5" t="s">
        <v>389</v>
      </c>
      <c r="E111" s="5">
        <v>7080.0</v>
      </c>
      <c r="F111" s="5" t="s">
        <v>532</v>
      </c>
      <c r="G111" s="5" t="s">
        <v>419</v>
      </c>
    </row>
    <row r="112">
      <c r="A112" s="11">
        <v>46139.970924340276</v>
      </c>
      <c r="B112" s="5" t="s">
        <v>514</v>
      </c>
      <c r="C112" s="5" t="s">
        <v>501</v>
      </c>
      <c r="D112" s="5" t="s">
        <v>389</v>
      </c>
      <c r="E112" s="5">
        <v>84000.0</v>
      </c>
      <c r="F112" s="5" t="s">
        <v>533</v>
      </c>
      <c r="G112" s="5" t="s">
        <v>440</v>
      </c>
    </row>
    <row r="113">
      <c r="A113" s="11">
        <v>46139.97272331019</v>
      </c>
      <c r="B113" s="5" t="s">
        <v>514</v>
      </c>
      <c r="C113" s="5" t="s">
        <v>501</v>
      </c>
      <c r="D113" s="5" t="s">
        <v>389</v>
      </c>
      <c r="E113" s="5">
        <v>17080.0</v>
      </c>
      <c r="F113" s="5" t="s">
        <v>467</v>
      </c>
      <c r="G113" s="5" t="s">
        <v>434</v>
      </c>
    </row>
    <row r="114">
      <c r="A114" s="11">
        <v>46139.97319087963</v>
      </c>
      <c r="B114" s="5" t="s">
        <v>514</v>
      </c>
      <c r="C114" s="5" t="s">
        <v>501</v>
      </c>
      <c r="D114" s="5" t="s">
        <v>389</v>
      </c>
      <c r="E114" s="5">
        <v>57000.0</v>
      </c>
      <c r="F114" s="5" t="s">
        <v>492</v>
      </c>
      <c r="G114" s="5" t="s">
        <v>443</v>
      </c>
    </row>
    <row r="115">
      <c r="A115" s="11">
        <v>46139.975062233796</v>
      </c>
      <c r="B115" s="5" t="s">
        <v>514</v>
      </c>
      <c r="C115" s="5" t="s">
        <v>501</v>
      </c>
      <c r="D115" s="5" t="s">
        <v>389</v>
      </c>
      <c r="E115" s="5">
        <v>11475.0</v>
      </c>
      <c r="F115" s="5" t="s">
        <v>503</v>
      </c>
      <c r="G115" s="5" t="s">
        <v>423</v>
      </c>
    </row>
    <row r="116">
      <c r="A116" s="11">
        <v>46140.18012696759</v>
      </c>
      <c r="B116" s="5" t="s">
        <v>521</v>
      </c>
      <c r="C116" s="5" t="s">
        <v>522</v>
      </c>
      <c r="D116" s="5" t="s">
        <v>163</v>
      </c>
      <c r="E116" s="5">
        <v>11520.0</v>
      </c>
      <c r="F116" s="5" t="s">
        <v>457</v>
      </c>
      <c r="G116" s="5" t="s">
        <v>447</v>
      </c>
    </row>
    <row r="117">
      <c r="A117" s="11">
        <v>46140.196849976855</v>
      </c>
      <c r="B117" s="5" t="s">
        <v>521</v>
      </c>
      <c r="C117" s="5" t="s">
        <v>522</v>
      </c>
      <c r="D117" s="5" t="s">
        <v>163</v>
      </c>
      <c r="E117" s="5">
        <v>3170.0</v>
      </c>
      <c r="F117" s="5" t="s">
        <v>457</v>
      </c>
      <c r="G117" s="5" t="s">
        <v>408</v>
      </c>
    </row>
    <row r="118">
      <c r="A118" s="11">
        <v>46140.20172380787</v>
      </c>
      <c r="B118" s="5" t="s">
        <v>521</v>
      </c>
      <c r="C118" s="5" t="s">
        <v>522</v>
      </c>
      <c r="D118" s="5" t="s">
        <v>163</v>
      </c>
      <c r="E118" s="5">
        <v>8000.0</v>
      </c>
      <c r="F118" s="5" t="s">
        <v>457</v>
      </c>
      <c r="G118" s="5" t="s">
        <v>444</v>
      </c>
    </row>
    <row r="119">
      <c r="A119" s="11">
        <v>46141.83533505787</v>
      </c>
      <c r="B119" s="5" t="s">
        <v>530</v>
      </c>
      <c r="C119" s="5" t="s">
        <v>522</v>
      </c>
      <c r="D119" s="5" t="s">
        <v>163</v>
      </c>
      <c r="E119" s="5">
        <v>3170.0</v>
      </c>
      <c r="F119" s="5" t="s">
        <v>490</v>
      </c>
      <c r="G119" s="5" t="s">
        <v>408</v>
      </c>
    </row>
    <row r="120">
      <c r="A120" s="11">
        <v>46142.98262896991</v>
      </c>
      <c r="B120" s="5" t="s">
        <v>530</v>
      </c>
      <c r="C120" s="5" t="s">
        <v>534</v>
      </c>
      <c r="D120" s="5" t="s">
        <v>215</v>
      </c>
      <c r="E120" s="5">
        <v>16720.0</v>
      </c>
      <c r="F120" s="5" t="s">
        <v>535</v>
      </c>
      <c r="G120" s="5" t="s">
        <v>428</v>
      </c>
    </row>
    <row r="121">
      <c r="A121" s="11">
        <v>46142.992673506946</v>
      </c>
      <c r="B121" s="5" t="s">
        <v>530</v>
      </c>
      <c r="C121" s="5" t="s">
        <v>534</v>
      </c>
      <c r="D121" s="5" t="s">
        <v>215</v>
      </c>
      <c r="E121" s="5">
        <v>11475.0</v>
      </c>
      <c r="F121" s="5" t="s">
        <v>503</v>
      </c>
      <c r="G121" s="5" t="s">
        <v>423</v>
      </c>
    </row>
    <row r="122">
      <c r="A122" s="11">
        <v>46142.998579074076</v>
      </c>
      <c r="B122" s="5" t="s">
        <v>530</v>
      </c>
      <c r="C122" s="5" t="s">
        <v>534</v>
      </c>
      <c r="D122" s="5" t="s">
        <v>215</v>
      </c>
      <c r="E122" s="5">
        <v>17140.0</v>
      </c>
      <c r="F122" s="5" t="s">
        <v>536</v>
      </c>
      <c r="G122" s="5" t="s">
        <v>431</v>
      </c>
    </row>
    <row r="123">
      <c r="A123" s="11">
        <v>46143.007004444444</v>
      </c>
      <c r="B123" s="5" t="s">
        <v>530</v>
      </c>
      <c r="C123" s="5" t="s">
        <v>534</v>
      </c>
      <c r="D123" s="5" t="s">
        <v>215</v>
      </c>
      <c r="E123" s="5">
        <v>20900.0</v>
      </c>
      <c r="F123" s="5" t="s">
        <v>537</v>
      </c>
      <c r="G123" s="5" t="s">
        <v>428</v>
      </c>
    </row>
    <row r="124">
      <c r="A124" s="11">
        <v>46143.00921792824</v>
      </c>
      <c r="B124" s="5" t="s">
        <v>530</v>
      </c>
      <c r="C124" s="5" t="s">
        <v>534</v>
      </c>
      <c r="D124" s="5" t="s">
        <v>215</v>
      </c>
      <c r="E124" s="5">
        <v>16720.0</v>
      </c>
      <c r="F124" s="5" t="s">
        <v>535</v>
      </c>
      <c r="G124" s="5" t="s">
        <v>428</v>
      </c>
    </row>
    <row r="125">
      <c r="A125" s="11">
        <v>46143.96972445602</v>
      </c>
      <c r="B125" s="5" t="s">
        <v>530</v>
      </c>
      <c r="C125" s="5" t="s">
        <v>538</v>
      </c>
      <c r="D125" s="5" t="s">
        <v>196</v>
      </c>
      <c r="E125" s="5">
        <v>1700.0</v>
      </c>
      <c r="F125" s="5" t="s">
        <v>472</v>
      </c>
      <c r="G125" s="5" t="s">
        <v>431</v>
      </c>
    </row>
    <row r="126">
      <c r="A126" s="11">
        <v>46144.62759333334</v>
      </c>
      <c r="B126" s="5" t="s">
        <v>521</v>
      </c>
      <c r="C126" s="5" t="s">
        <v>539</v>
      </c>
      <c r="D126" s="5" t="s">
        <v>240</v>
      </c>
      <c r="E126" s="5">
        <v>4000.0</v>
      </c>
      <c r="F126" s="5" t="s">
        <v>457</v>
      </c>
      <c r="G126" s="5" t="s">
        <v>440</v>
      </c>
    </row>
    <row r="127">
      <c r="A127" s="11">
        <v>46144.64989425926</v>
      </c>
      <c r="B127" s="5" t="s">
        <v>521</v>
      </c>
      <c r="C127" s="5" t="s">
        <v>540</v>
      </c>
      <c r="D127" s="5" t="s">
        <v>240</v>
      </c>
      <c r="E127" s="5">
        <v>62000.0</v>
      </c>
      <c r="F127" s="5" t="s">
        <v>457</v>
      </c>
      <c r="G127" s="5" t="s">
        <v>442</v>
      </c>
    </row>
    <row r="128">
      <c r="A128" s="11">
        <v>46147.781187858796</v>
      </c>
      <c r="B128" s="5" t="s">
        <v>514</v>
      </c>
      <c r="C128" s="5" t="s">
        <v>541</v>
      </c>
      <c r="D128" s="5" t="s">
        <v>402</v>
      </c>
      <c r="E128" s="5">
        <v>10200.0</v>
      </c>
      <c r="F128" s="5" t="s">
        <v>542</v>
      </c>
      <c r="G128" s="5" t="s">
        <v>413</v>
      </c>
    </row>
    <row r="129">
      <c r="A129" s="11">
        <v>46147.966624699075</v>
      </c>
      <c r="B129" s="5" t="s">
        <v>530</v>
      </c>
      <c r="C129" s="5" t="s">
        <v>456</v>
      </c>
      <c r="D129" s="5" t="s">
        <v>400</v>
      </c>
      <c r="E129" s="5">
        <v>12900.0</v>
      </c>
      <c r="F129" s="5" t="s">
        <v>543</v>
      </c>
      <c r="G129" s="5" t="s">
        <v>426</v>
      </c>
    </row>
    <row r="130">
      <c r="A130" s="11">
        <v>46147.96786662037</v>
      </c>
      <c r="B130" s="5" t="s">
        <v>530</v>
      </c>
      <c r="C130" s="5" t="s">
        <v>456</v>
      </c>
      <c r="D130" s="5" t="s">
        <v>400</v>
      </c>
      <c r="E130" s="5">
        <v>7200.0</v>
      </c>
      <c r="F130" s="5" t="s">
        <v>544</v>
      </c>
      <c r="G130" s="5" t="s">
        <v>416</v>
      </c>
    </row>
    <row r="131">
      <c r="A131" s="11">
        <v>46147.96940822917</v>
      </c>
      <c r="B131" s="5" t="s">
        <v>530</v>
      </c>
      <c r="C131" s="5" t="s">
        <v>456</v>
      </c>
      <c r="D131" s="5" t="s">
        <v>400</v>
      </c>
      <c r="E131" s="5">
        <v>7200.0</v>
      </c>
      <c r="F131" s="5" t="s">
        <v>544</v>
      </c>
      <c r="G131" s="5" t="s">
        <v>416</v>
      </c>
    </row>
    <row r="132">
      <c r="A132" s="11">
        <v>46147.971691087965</v>
      </c>
      <c r="B132" s="5" t="s">
        <v>530</v>
      </c>
      <c r="C132" s="5" t="s">
        <v>456</v>
      </c>
      <c r="D132" s="5" t="s">
        <v>400</v>
      </c>
      <c r="E132" s="5">
        <v>10800.0</v>
      </c>
      <c r="F132" s="5" t="s">
        <v>545</v>
      </c>
      <c r="G132" s="5" t="s">
        <v>416</v>
      </c>
    </row>
    <row r="133">
      <c r="A133" s="11">
        <v>46147.9738806713</v>
      </c>
      <c r="B133" s="5" t="s">
        <v>530</v>
      </c>
      <c r="C133" s="5" t="s">
        <v>456</v>
      </c>
      <c r="D133" s="5" t="s">
        <v>400</v>
      </c>
      <c r="E133" s="5">
        <v>10200.0</v>
      </c>
      <c r="F133" s="5" t="s">
        <v>542</v>
      </c>
      <c r="G133" s="5" t="s">
        <v>413</v>
      </c>
    </row>
    <row r="134">
      <c r="A134" s="11">
        <v>46147.97511728009</v>
      </c>
      <c r="B134" s="5" t="s">
        <v>530</v>
      </c>
      <c r="C134" s="5" t="s">
        <v>456</v>
      </c>
      <c r="D134" s="5" t="s">
        <v>400</v>
      </c>
      <c r="E134" s="5">
        <v>12855.0</v>
      </c>
      <c r="F134" s="5" t="s">
        <v>546</v>
      </c>
      <c r="G134" s="5" t="s">
        <v>431</v>
      </c>
    </row>
    <row r="135">
      <c r="A135" s="11">
        <v>46149.83832122685</v>
      </c>
      <c r="B135" s="5" t="s">
        <v>530</v>
      </c>
      <c r="C135" s="5" t="s">
        <v>456</v>
      </c>
      <c r="D135" s="5" t="s">
        <v>400</v>
      </c>
      <c r="E135" s="5">
        <v>11700.0</v>
      </c>
      <c r="F135" s="5" t="s">
        <v>547</v>
      </c>
      <c r="G135" s="5" t="s">
        <v>425</v>
      </c>
    </row>
    <row r="136">
      <c r="A136" s="11">
        <v>46149.846958379625</v>
      </c>
      <c r="B136" s="5" t="s">
        <v>530</v>
      </c>
      <c r="C136" s="5" t="s">
        <v>456</v>
      </c>
      <c r="D136" s="5" t="s">
        <v>400</v>
      </c>
      <c r="E136" s="5">
        <v>3200.0</v>
      </c>
      <c r="F136" s="5" t="s">
        <v>548</v>
      </c>
      <c r="G136" s="5" t="s">
        <v>406</v>
      </c>
    </row>
    <row r="137">
      <c r="A137" s="11">
        <v>46152.98668391204</v>
      </c>
      <c r="B137" s="5" t="s">
        <v>521</v>
      </c>
      <c r="C137" s="5" t="s">
        <v>549</v>
      </c>
      <c r="D137" s="5" t="s">
        <v>173</v>
      </c>
      <c r="E137" s="5">
        <v>11565.0</v>
      </c>
      <c r="F137" s="5" t="s">
        <v>457</v>
      </c>
      <c r="G137" s="5" t="s">
        <v>422</v>
      </c>
    </row>
    <row r="138">
      <c r="A138" s="11">
        <v>46153.012982546294</v>
      </c>
      <c r="B138" s="5" t="s">
        <v>521</v>
      </c>
      <c r="C138" s="5" t="s">
        <v>549</v>
      </c>
      <c r="D138" s="5" t="s">
        <v>173</v>
      </c>
      <c r="E138" s="5">
        <v>16960.0</v>
      </c>
      <c r="F138" s="5" t="s">
        <v>457</v>
      </c>
      <c r="G138" s="5" t="s">
        <v>422</v>
      </c>
    </row>
    <row r="139">
      <c r="A139" s="11">
        <v>46153.01538438657</v>
      </c>
      <c r="B139" s="5" t="s">
        <v>521</v>
      </c>
      <c r="C139" s="5" t="s">
        <v>549</v>
      </c>
      <c r="D139" s="5" t="s">
        <v>173</v>
      </c>
      <c r="E139" s="5">
        <v>25530.0</v>
      </c>
      <c r="F139" s="5" t="s">
        <v>457</v>
      </c>
      <c r="G139" s="5" t="s">
        <v>435</v>
      </c>
    </row>
    <row r="140">
      <c r="A140" s="11">
        <v>46153.02825986111</v>
      </c>
      <c r="B140" s="5" t="s">
        <v>521</v>
      </c>
      <c r="C140" s="5" t="s">
        <v>549</v>
      </c>
      <c r="D140" s="5" t="s">
        <v>173</v>
      </c>
      <c r="E140" s="5">
        <v>17200.0</v>
      </c>
      <c r="F140" s="5" t="s">
        <v>457</v>
      </c>
      <c r="G140" s="5" t="s">
        <v>419</v>
      </c>
    </row>
    <row r="141">
      <c r="A141" s="11">
        <v>46153.02889498843</v>
      </c>
      <c r="B141" s="5" t="s">
        <v>521</v>
      </c>
      <c r="C141" s="5" t="s">
        <v>549</v>
      </c>
      <c r="D141" s="5" t="s">
        <v>173</v>
      </c>
      <c r="E141" s="5">
        <v>16960.0</v>
      </c>
      <c r="F141" s="5" t="s">
        <v>457</v>
      </c>
      <c r="G141" s="5" t="s">
        <v>430</v>
      </c>
    </row>
    <row r="142">
      <c r="A142" s="11">
        <v>46159.97189581019</v>
      </c>
      <c r="B142" s="5" t="s">
        <v>530</v>
      </c>
      <c r="C142" s="5" t="s">
        <v>550</v>
      </c>
      <c r="D142" s="5" t="s">
        <v>231</v>
      </c>
      <c r="E142" s="5">
        <v>21425.0</v>
      </c>
      <c r="F142" s="5" t="s">
        <v>531</v>
      </c>
      <c r="G142" s="5" t="s">
        <v>431</v>
      </c>
    </row>
    <row r="143">
      <c r="A143" s="11">
        <v>46160.848768298616</v>
      </c>
      <c r="B143" s="5" t="s">
        <v>530</v>
      </c>
      <c r="C143" s="5" t="s">
        <v>551</v>
      </c>
      <c r="D143" s="5" t="s">
        <v>214</v>
      </c>
      <c r="E143" s="5">
        <v>21350.0</v>
      </c>
      <c r="F143" s="5" t="s">
        <v>552</v>
      </c>
      <c r="G143" s="5" t="s">
        <v>434</v>
      </c>
    </row>
    <row r="144">
      <c r="A144" s="11">
        <v>46160.86092131944</v>
      </c>
      <c r="B144" s="5" t="s">
        <v>530</v>
      </c>
      <c r="C144" s="5" t="s">
        <v>551</v>
      </c>
      <c r="D144" s="5" t="s">
        <v>214</v>
      </c>
      <c r="E144" s="5">
        <v>7200.0</v>
      </c>
      <c r="F144" s="5" t="s">
        <v>544</v>
      </c>
      <c r="G144" s="5" t="s">
        <v>416</v>
      </c>
    </row>
    <row r="145">
      <c r="A145" s="11">
        <v>46160.86280877315</v>
      </c>
      <c r="B145" s="5" t="s">
        <v>530</v>
      </c>
      <c r="C145" s="5" t="s">
        <v>551</v>
      </c>
      <c r="D145" s="5" t="s">
        <v>214</v>
      </c>
      <c r="E145" s="5">
        <v>11565.0</v>
      </c>
      <c r="F145" s="5" t="s">
        <v>465</v>
      </c>
      <c r="G145" s="5" t="s">
        <v>422</v>
      </c>
    </row>
    <row r="146">
      <c r="A146" s="11">
        <v>46170.78220611111</v>
      </c>
      <c r="B146" s="5" t="s">
        <v>514</v>
      </c>
      <c r="C146" s="5" t="s">
        <v>541</v>
      </c>
      <c r="D146" s="5" t="s">
        <v>402</v>
      </c>
      <c r="E146" s="5">
        <v>10800.0</v>
      </c>
      <c r="F146" s="5" t="s">
        <v>545</v>
      </c>
      <c r="G146" s="5" t="s">
        <v>416</v>
      </c>
    </row>
    <row r="147">
      <c r="A147" s="11">
        <v>46170.78457037037</v>
      </c>
      <c r="B147" s="5" t="s">
        <v>514</v>
      </c>
      <c r="C147" s="5" t="s">
        <v>541</v>
      </c>
      <c r="D147" s="5" t="s">
        <v>402</v>
      </c>
      <c r="E147" s="5">
        <v>21350.0</v>
      </c>
      <c r="F147" s="5" t="s">
        <v>552</v>
      </c>
      <c r="G147" s="5" t="s">
        <v>434</v>
      </c>
    </row>
    <row r="148">
      <c r="A148" s="11">
        <v>46170.8003290162</v>
      </c>
      <c r="B148" s="5" t="s">
        <v>514</v>
      </c>
      <c r="C148" s="5" t="s">
        <v>541</v>
      </c>
      <c r="D148" s="5" t="s">
        <v>402</v>
      </c>
      <c r="E148" s="5">
        <v>15600.0</v>
      </c>
      <c r="F148" s="5" t="s">
        <v>553</v>
      </c>
      <c r="G148" s="5" t="s">
        <v>425</v>
      </c>
    </row>
    <row r="149">
      <c r="A149" s="11">
        <v>46171.12521155093</v>
      </c>
      <c r="B149" s="5" t="s">
        <v>514</v>
      </c>
      <c r="C149" s="5" t="s">
        <v>541</v>
      </c>
      <c r="D149" s="5" t="s">
        <v>402</v>
      </c>
      <c r="E149" s="5">
        <v>17140.0</v>
      </c>
      <c r="F149" s="5" t="s">
        <v>536</v>
      </c>
      <c r="G149" s="5" t="s">
        <v>431</v>
      </c>
    </row>
    <row r="150">
      <c r="A150" s="11">
        <v>46171.14329739583</v>
      </c>
      <c r="B150" s="5" t="s">
        <v>514</v>
      </c>
      <c r="C150" s="5" t="s">
        <v>541</v>
      </c>
      <c r="D150" s="5" t="s">
        <v>402</v>
      </c>
      <c r="E150" s="5">
        <v>17080.0</v>
      </c>
      <c r="F150" s="5" t="s">
        <v>467</v>
      </c>
      <c r="G150" s="5" t="s">
        <v>434</v>
      </c>
    </row>
    <row r="151">
      <c r="A151" s="11">
        <v>46173.747692696765</v>
      </c>
      <c r="B151" s="5" t="s">
        <v>514</v>
      </c>
      <c r="C151" s="5" t="s">
        <v>554</v>
      </c>
      <c r="D151" s="5" t="s">
        <v>402</v>
      </c>
      <c r="E151" s="5">
        <v>16780.0</v>
      </c>
      <c r="F151" s="5" t="s">
        <v>555</v>
      </c>
      <c r="G151" s="5" t="s">
        <v>432</v>
      </c>
    </row>
    <row r="152">
      <c r="A152" s="11">
        <v>46173.859610590276</v>
      </c>
      <c r="B152" s="5" t="s">
        <v>514</v>
      </c>
      <c r="C152" s="5" t="s">
        <v>556</v>
      </c>
      <c r="D152" s="5" t="s">
        <v>402</v>
      </c>
      <c r="E152" s="5">
        <v>16780.0</v>
      </c>
      <c r="F152" s="5" t="s">
        <v>555</v>
      </c>
      <c r="G152" s="5" t="s">
        <v>432</v>
      </c>
    </row>
    <row r="153">
      <c r="A153" s="11">
        <v>46173.86106563658</v>
      </c>
      <c r="B153" s="5" t="s">
        <v>514</v>
      </c>
      <c r="C153" s="5" t="s">
        <v>556</v>
      </c>
      <c r="D153" s="5" t="s">
        <v>402</v>
      </c>
      <c r="E153" s="5">
        <v>10155.0</v>
      </c>
      <c r="F153" s="5" t="s">
        <v>557</v>
      </c>
      <c r="G153" s="5" t="s">
        <v>411</v>
      </c>
    </row>
    <row r="154">
      <c r="A154" s="11">
        <v>46179.81343465278</v>
      </c>
      <c r="B154" s="5" t="s">
        <v>558</v>
      </c>
      <c r="C154" s="5" t="s">
        <v>501</v>
      </c>
      <c r="D154" s="5" t="s">
        <v>389</v>
      </c>
      <c r="E154" s="5">
        <v>14160.0</v>
      </c>
      <c r="F154" s="5" t="s">
        <v>559</v>
      </c>
      <c r="G154" s="5" t="s">
        <v>419</v>
      </c>
    </row>
    <row r="155">
      <c r="A155" s="11">
        <v>46179.82662666666</v>
      </c>
      <c r="B155" s="5" t="s">
        <v>558</v>
      </c>
      <c r="C155" s="5" t="s">
        <v>501</v>
      </c>
      <c r="D155" s="5" t="s">
        <v>389</v>
      </c>
      <c r="E155" s="12">
        <v>28660.0</v>
      </c>
      <c r="F155" s="5" t="s">
        <v>472</v>
      </c>
      <c r="G155" s="5" t="s">
        <v>431</v>
      </c>
    </row>
    <row r="156">
      <c r="A156" s="11">
        <v>46180.99132224537</v>
      </c>
      <c r="B156" s="5" t="s">
        <v>558</v>
      </c>
      <c r="C156" s="5" t="s">
        <v>560</v>
      </c>
      <c r="D156" s="5" t="s">
        <v>230</v>
      </c>
      <c r="E156" s="5">
        <v>11520.0</v>
      </c>
      <c r="F156" s="5" t="s">
        <v>561</v>
      </c>
      <c r="G156" s="5" t="s">
        <v>447</v>
      </c>
    </row>
    <row r="157">
      <c r="A157" s="11">
        <v>46182.720431875</v>
      </c>
      <c r="B157" s="5" t="s">
        <v>558</v>
      </c>
      <c r="C157" s="5" t="s">
        <v>562</v>
      </c>
      <c r="D157" s="5" t="s">
        <v>241</v>
      </c>
      <c r="E157" s="5">
        <v>10710.0</v>
      </c>
      <c r="F157" s="5" t="s">
        <v>563</v>
      </c>
      <c r="G157" s="5" t="s">
        <v>417</v>
      </c>
    </row>
    <row r="158">
      <c r="A158" s="11">
        <v>46182.837967430554</v>
      </c>
      <c r="B158" s="5" t="s">
        <v>558</v>
      </c>
      <c r="C158" s="5" t="s">
        <v>564</v>
      </c>
      <c r="D158" s="5" t="s">
        <v>253</v>
      </c>
      <c r="E158" s="5">
        <v>25170.0</v>
      </c>
      <c r="F158" s="5" t="s">
        <v>565</v>
      </c>
      <c r="G158" s="5" t="s">
        <v>432</v>
      </c>
    </row>
    <row r="159">
      <c r="A159" s="11">
        <v>46184.80954805556</v>
      </c>
      <c r="B159" s="5" t="s">
        <v>514</v>
      </c>
      <c r="C159" s="5" t="s">
        <v>549</v>
      </c>
      <c r="D159" s="5" t="s">
        <v>173</v>
      </c>
      <c r="E159" s="5">
        <v>14220.0</v>
      </c>
      <c r="F159" s="5" t="s">
        <v>566</v>
      </c>
      <c r="G159" s="5" t="s">
        <v>418</v>
      </c>
    </row>
    <row r="160">
      <c r="A160" s="11">
        <v>46184.8117481713</v>
      </c>
      <c r="B160" s="5" t="s">
        <v>514</v>
      </c>
      <c r="C160" s="5" t="s">
        <v>549</v>
      </c>
      <c r="D160" s="5" t="s">
        <v>173</v>
      </c>
      <c r="E160" s="5">
        <v>25350.0</v>
      </c>
      <c r="F160" s="5" t="s">
        <v>567</v>
      </c>
      <c r="G160" s="5" t="s">
        <v>433</v>
      </c>
    </row>
    <row r="161">
      <c r="A161" s="11">
        <v>46184.8253046412</v>
      </c>
      <c r="B161" s="5" t="s">
        <v>514</v>
      </c>
      <c r="C161" s="5" t="s">
        <v>549</v>
      </c>
      <c r="D161" s="5" t="s">
        <v>173</v>
      </c>
      <c r="E161" s="5">
        <v>17140.0</v>
      </c>
      <c r="F161" s="5" t="s">
        <v>536</v>
      </c>
      <c r="G161" s="5" t="s">
        <v>431</v>
      </c>
    </row>
    <row r="162">
      <c r="A162" s="11">
        <v>46184.82859747685</v>
      </c>
      <c r="B162" s="5" t="s">
        <v>514</v>
      </c>
      <c r="C162" s="5" t="s">
        <v>549</v>
      </c>
      <c r="D162" s="5" t="s">
        <v>173</v>
      </c>
      <c r="E162" s="5">
        <v>11610.0</v>
      </c>
      <c r="F162" s="5" t="s">
        <v>568</v>
      </c>
      <c r="G162" s="5" t="s">
        <v>420</v>
      </c>
    </row>
    <row r="163">
      <c r="A163" s="11">
        <v>46184.97461690972</v>
      </c>
      <c r="B163" s="5" t="s">
        <v>514</v>
      </c>
      <c r="C163" s="5" t="s">
        <v>522</v>
      </c>
      <c r="D163" s="5" t="s">
        <v>163</v>
      </c>
      <c r="E163" s="5">
        <v>21425.0</v>
      </c>
      <c r="F163" s="5" t="s">
        <v>531</v>
      </c>
      <c r="G163" s="5" t="s">
        <v>431</v>
      </c>
    </row>
    <row r="164">
      <c r="A164" s="11">
        <v>46185.87537502315</v>
      </c>
      <c r="B164" s="5" t="s">
        <v>530</v>
      </c>
      <c r="C164" s="5" t="s">
        <v>522</v>
      </c>
      <c r="D164" s="5" t="s">
        <v>163</v>
      </c>
      <c r="E164" s="5">
        <v>19200.0</v>
      </c>
      <c r="F164" s="5" t="s">
        <v>527</v>
      </c>
      <c r="G164" s="5" t="s">
        <v>447</v>
      </c>
    </row>
    <row r="165">
      <c r="A165" s="11">
        <v>46185.88235584491</v>
      </c>
      <c r="B165" s="5" t="s">
        <v>530</v>
      </c>
      <c r="C165" s="5" t="s">
        <v>522</v>
      </c>
      <c r="D165" s="5" t="s">
        <v>163</v>
      </c>
      <c r="E165" s="5">
        <v>15360.0</v>
      </c>
      <c r="F165" s="5" t="s">
        <v>569</v>
      </c>
      <c r="G165" s="5" t="s">
        <v>447</v>
      </c>
    </row>
    <row r="166">
      <c r="A166" s="11">
        <v>46185.89334164352</v>
      </c>
      <c r="B166" s="5" t="s">
        <v>514</v>
      </c>
      <c r="C166" s="5" t="s">
        <v>522</v>
      </c>
      <c r="D166" s="5" t="s">
        <v>163</v>
      </c>
      <c r="E166" s="5">
        <v>17080.0</v>
      </c>
      <c r="F166" s="5" t="s">
        <v>467</v>
      </c>
      <c r="G166" s="5" t="s">
        <v>434</v>
      </c>
    </row>
    <row r="167">
      <c r="A167" s="11">
        <v>46185.90272893518</v>
      </c>
      <c r="B167" s="5" t="s">
        <v>530</v>
      </c>
      <c r="C167" s="5" t="s">
        <v>522</v>
      </c>
      <c r="D167" s="5" t="s">
        <v>163</v>
      </c>
      <c r="E167" s="5">
        <v>6340.0</v>
      </c>
      <c r="F167" s="5" t="s">
        <v>570</v>
      </c>
      <c r="G167" s="5" t="s">
        <v>408</v>
      </c>
    </row>
    <row r="168">
      <c r="A168" s="11">
        <v>46185.95604730324</v>
      </c>
      <c r="B168" s="5" t="s">
        <v>514</v>
      </c>
      <c r="C168" s="5" t="s">
        <v>522</v>
      </c>
      <c r="D168" s="5" t="s">
        <v>163</v>
      </c>
      <c r="E168" s="5">
        <v>6340.0</v>
      </c>
      <c r="F168" s="5" t="s">
        <v>570</v>
      </c>
      <c r="G168" s="5" t="s">
        <v>408</v>
      </c>
    </row>
    <row r="169">
      <c r="A169" s="11">
        <v>46186.00373489583</v>
      </c>
      <c r="B169" s="5" t="s">
        <v>514</v>
      </c>
      <c r="C169" s="5" t="s">
        <v>522</v>
      </c>
      <c r="D169" s="5" t="s">
        <v>163</v>
      </c>
      <c r="E169" s="5">
        <v>19200.0</v>
      </c>
      <c r="F169" s="5" t="s">
        <v>527</v>
      </c>
      <c r="G169" s="5" t="s">
        <v>447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  <col customWidth="1" min="6" max="6" width="63.63"/>
  </cols>
  <sheetData>
    <row r="1">
      <c r="A1" s="10" t="str">
        <f>IFERROR(__xludf.DUMMYFUNCTION("QUERY(LEDGER!A:G, ""SELECT * WHERE A IS NOT NULL ORDER BY A DESC LIMIT 100"", 1)"),"Timestamp")</f>
        <v>Timestamp</v>
      </c>
      <c r="B1" s="10" t="str">
        <f>IFERROR(__xludf.DUMMYFUNCTION("""COMPUTED_VALUE"""),"Pilot Name")</f>
        <v>Pilot Name</v>
      </c>
      <c r="C1" s="10" t="str">
        <f>IFERROR(__xludf.DUMMYFUNCTION("""COMPUTED_VALUE"""),"Location")</f>
        <v>Location</v>
      </c>
      <c r="D1" s="10" t="str">
        <f>IFERROR(__xludf.DUMMYFUNCTION("""COMPUTED_VALUE"""),"Regolith Code")</f>
        <v>Regolith Code</v>
      </c>
      <c r="E1" s="10" t="str">
        <f>IFERROR(__xludf.DUMMYFUNCTION("""COMPUTED_VALUE"""),"Raw Signature")</f>
        <v>Raw Signature</v>
      </c>
      <c r="F1" s="10" t="str">
        <f>IFERROR(__xludf.DUMMYFUNCTION("""COMPUTED_VALUE"""),"GUI Prediction")</f>
        <v>GUI Prediction</v>
      </c>
      <c r="G1" s="10" t="str">
        <f>IFERROR(__xludf.DUMMYFUNCTION("""COMPUTED_VALUE"""),"Found Ore")</f>
        <v>Found Ore</v>
      </c>
    </row>
    <row r="2">
      <c r="A2" s="13">
        <f>IFERROR(__xludf.DUMMYFUNCTION("""COMPUTED_VALUE"""),46186.00373489583)</f>
        <v>46186.00373</v>
      </c>
      <c r="B2" s="5" t="str">
        <f>IFERROR(__xludf.DUMMYFUNCTION("""COMPUTED_VALUE"""),"Jenner_Darr")</f>
        <v>Jenner_Darr</v>
      </c>
      <c r="C2" s="10" t="str">
        <f>IFERROR(__xludf.DUMMYFUNCTION("""COMPUTED_VALUE"""),"STANTON - AARON HALO - Belt")</f>
        <v>STANTON - AARON HALO - Belt</v>
      </c>
      <c r="D2" s="10" t="str">
        <f>IFERROR(__xludf.DUMMYFUNCTION("""COMPUTED_VALUE"""),"AARON_HALO")</f>
        <v>AARON_HALO</v>
      </c>
      <c r="E2" s="14">
        <f>IFERROR(__xludf.DUMMYFUNCTION("""COMPUTED_VALUE"""),19200.0)</f>
        <v>19200</v>
      </c>
      <c r="F2" s="10" t="str">
        <f>IFERROR(__xludf.DUMMYFUNCTION("""COMPUTED_VALUE"""),"6x Savrilium | 5x Aslarite")</f>
        <v>6x Savrilium | 5x Aslarite</v>
      </c>
      <c r="G2" s="10" t="str">
        <f>IFERROR(__xludf.DUMMYFUNCTION("""COMPUTED_VALUE"""),"Aslarite")</f>
        <v>Aslarite</v>
      </c>
    </row>
    <row r="3">
      <c r="A3" s="13">
        <f>IFERROR(__xludf.DUMMYFUNCTION("""COMPUTED_VALUE"""),46185.95604730324)</f>
        <v>46185.95605</v>
      </c>
      <c r="B3" s="10" t="str">
        <f>IFERROR(__xludf.DUMMYFUNCTION("""COMPUTED_VALUE"""),"Jenner_Darr")</f>
        <v>Jenner_Darr</v>
      </c>
      <c r="C3" s="10" t="str">
        <f>IFERROR(__xludf.DUMMYFUNCTION("""COMPUTED_VALUE"""),"STANTON - AARON HALO - Belt")</f>
        <v>STANTON - AARON HALO - Belt</v>
      </c>
      <c r="D3" s="10" t="str">
        <f>IFERROR(__xludf.DUMMYFUNCTION("""COMPUTED_VALUE"""),"AARON_HALO")</f>
        <v>AARON_HALO</v>
      </c>
      <c r="E3" s="14">
        <f>IFERROR(__xludf.DUMMYFUNCTION("""COMPUTED_VALUE"""),6340.0)</f>
        <v>6340</v>
      </c>
      <c r="F3" s="10" t="str">
        <f>IFERROR(__xludf.DUMMYFUNCTION("""COMPUTED_VALUE"""),"2x Quantainium")</f>
        <v>2x Quantainium</v>
      </c>
      <c r="G3" s="10" t="str">
        <f>IFERROR(__xludf.DUMMYFUNCTION("""COMPUTED_VALUE"""),"Quantanium")</f>
        <v>Quantanium</v>
      </c>
    </row>
    <row r="4">
      <c r="A4" s="13">
        <f>IFERROR(__xludf.DUMMYFUNCTION("""COMPUTED_VALUE"""),46185.90272893518)</f>
        <v>46185.90273</v>
      </c>
      <c r="B4" s="10" t="str">
        <f>IFERROR(__xludf.DUMMYFUNCTION("""COMPUTED_VALUE"""),"Dansec")</f>
        <v>Dansec</v>
      </c>
      <c r="C4" s="10" t="str">
        <f>IFERROR(__xludf.DUMMYFUNCTION("""COMPUTED_VALUE"""),"STANTON - AARON HALO - Belt")</f>
        <v>STANTON - AARON HALO - Belt</v>
      </c>
      <c r="D4" s="10" t="str">
        <f>IFERROR(__xludf.DUMMYFUNCTION("""COMPUTED_VALUE"""),"AARON_HALO")</f>
        <v>AARON_HALO</v>
      </c>
      <c r="E4" s="14">
        <f>IFERROR(__xludf.DUMMYFUNCTION("""COMPUTED_VALUE"""),6340.0)</f>
        <v>6340</v>
      </c>
      <c r="F4" s="10" t="str">
        <f>IFERROR(__xludf.DUMMYFUNCTION("""COMPUTED_VALUE"""),"2x Quantainium")</f>
        <v>2x Quantainium</v>
      </c>
      <c r="G4" s="10" t="str">
        <f>IFERROR(__xludf.DUMMYFUNCTION("""COMPUTED_VALUE"""),"Quantanium")</f>
        <v>Quantanium</v>
      </c>
    </row>
    <row r="5">
      <c r="A5" s="13">
        <f>IFERROR(__xludf.DUMMYFUNCTION("""COMPUTED_VALUE"""),46185.89334164352)</f>
        <v>46185.89334</v>
      </c>
      <c r="B5" s="10" t="str">
        <f>IFERROR(__xludf.DUMMYFUNCTION("""COMPUTED_VALUE"""),"Jenner_Darr")</f>
        <v>Jenner_Darr</v>
      </c>
      <c r="C5" s="10" t="str">
        <f>IFERROR(__xludf.DUMMYFUNCTION("""COMPUTED_VALUE"""),"STANTON - AARON HALO - Belt")</f>
        <v>STANTON - AARON HALO - Belt</v>
      </c>
      <c r="D5" s="10" t="str">
        <f>IFERROR(__xludf.DUMMYFUNCTION("""COMPUTED_VALUE"""),"AARON_HALO")</f>
        <v>AARON_HALO</v>
      </c>
      <c r="E5" s="14">
        <f>IFERROR(__xludf.DUMMYFUNCTION("""COMPUTED_VALUE"""),17080.0)</f>
        <v>17080</v>
      </c>
      <c r="F5" s="10" t="str">
        <f>IFERROR(__xludf.DUMMYFUNCTION("""COMPUTED_VALUE"""),"4x Iron")</f>
        <v>4x Iron</v>
      </c>
      <c r="G5" s="10" t="str">
        <f>IFERROR(__xludf.DUMMYFUNCTION("""COMPUTED_VALUE"""),"Iron")</f>
        <v>Iron</v>
      </c>
    </row>
    <row r="6">
      <c r="A6" s="13">
        <f>IFERROR(__xludf.DUMMYFUNCTION("""COMPUTED_VALUE"""),46185.88235584491)</f>
        <v>46185.88236</v>
      </c>
      <c r="B6" s="10" t="str">
        <f>IFERROR(__xludf.DUMMYFUNCTION("""COMPUTED_VALUE"""),"Dansec")</f>
        <v>Dansec</v>
      </c>
      <c r="C6" s="10" t="str">
        <f>IFERROR(__xludf.DUMMYFUNCTION("""COMPUTED_VALUE"""),"STANTON - AARON HALO - Belt")</f>
        <v>STANTON - AARON HALO - Belt</v>
      </c>
      <c r="D6" s="10" t="str">
        <f>IFERROR(__xludf.DUMMYFUNCTION("""COMPUTED_VALUE"""),"AARON_HALO")</f>
        <v>AARON_HALO</v>
      </c>
      <c r="E6" s="14">
        <f>IFERROR(__xludf.DUMMYFUNCTION("""COMPUTED_VALUE"""),15360.0)</f>
        <v>15360</v>
      </c>
      <c r="F6" s="10" t="str">
        <f>IFERROR(__xludf.DUMMYFUNCTION("""COMPUTED_VALUE"""),"4x Aslarite")</f>
        <v>4x Aslarite</v>
      </c>
      <c r="G6" s="10" t="str">
        <f>IFERROR(__xludf.DUMMYFUNCTION("""COMPUTED_VALUE"""),"Aslarite")</f>
        <v>Aslarite</v>
      </c>
    </row>
    <row r="7">
      <c r="A7" s="13">
        <f>IFERROR(__xludf.DUMMYFUNCTION("""COMPUTED_VALUE"""),46185.87537502315)</f>
        <v>46185.87538</v>
      </c>
      <c r="B7" s="10" t="str">
        <f>IFERROR(__xludf.DUMMYFUNCTION("""COMPUTED_VALUE"""),"Dansec")</f>
        <v>Dansec</v>
      </c>
      <c r="C7" s="10" t="str">
        <f>IFERROR(__xludf.DUMMYFUNCTION("""COMPUTED_VALUE"""),"STANTON - AARON HALO - Belt")</f>
        <v>STANTON - AARON HALO - Belt</v>
      </c>
      <c r="D7" s="10" t="str">
        <f>IFERROR(__xludf.DUMMYFUNCTION("""COMPUTED_VALUE"""),"AARON_HALO")</f>
        <v>AARON_HALO</v>
      </c>
      <c r="E7" s="14">
        <f>IFERROR(__xludf.DUMMYFUNCTION("""COMPUTED_VALUE"""),19200.0)</f>
        <v>19200</v>
      </c>
      <c r="F7" s="10" t="str">
        <f>IFERROR(__xludf.DUMMYFUNCTION("""COMPUTED_VALUE"""),"6x Savrilium | 5x Aslarite")</f>
        <v>6x Savrilium | 5x Aslarite</v>
      </c>
      <c r="G7" s="10" t="str">
        <f>IFERROR(__xludf.DUMMYFUNCTION("""COMPUTED_VALUE"""),"Aslarite")</f>
        <v>Aslarite</v>
      </c>
    </row>
    <row r="8">
      <c r="A8" s="13">
        <f>IFERROR(__xludf.DUMMYFUNCTION("""COMPUTED_VALUE"""),46184.97461690972)</f>
        <v>46184.97462</v>
      </c>
      <c r="B8" s="10" t="str">
        <f>IFERROR(__xludf.DUMMYFUNCTION("""COMPUTED_VALUE"""),"Jenner_Darr")</f>
        <v>Jenner_Darr</v>
      </c>
      <c r="C8" s="10" t="str">
        <f>IFERROR(__xludf.DUMMYFUNCTION("""COMPUTED_VALUE"""),"STANTON - AARON HALO - Belt")</f>
        <v>STANTON - AARON HALO - Belt</v>
      </c>
      <c r="D8" s="10" t="str">
        <f>IFERROR(__xludf.DUMMYFUNCTION("""COMPUTED_VALUE"""),"AARON_HALO")</f>
        <v>AARON_HALO</v>
      </c>
      <c r="E8" s="14">
        <f>IFERROR(__xludf.DUMMYFUNCTION("""COMPUTED_VALUE"""),21425.0)</f>
        <v>21425</v>
      </c>
      <c r="F8" s="10" t="str">
        <f>IFERROR(__xludf.DUMMYFUNCTION("""COMPUTED_VALUE"""),"5x Aluminum")</f>
        <v>5x Aluminum</v>
      </c>
      <c r="G8" s="10" t="str">
        <f>IFERROR(__xludf.DUMMYFUNCTION("""COMPUTED_VALUE"""),"Aluminum")</f>
        <v>Aluminum</v>
      </c>
    </row>
    <row r="9">
      <c r="A9" s="13">
        <f>IFERROR(__xludf.DUMMYFUNCTION("""COMPUTED_VALUE"""),46184.82859747685)</f>
        <v>46184.8286</v>
      </c>
      <c r="B9" s="10" t="str">
        <f>IFERROR(__xludf.DUMMYFUNCTION("""COMPUTED_VALUE"""),"Jenner_Darr")</f>
        <v>Jenner_Darr</v>
      </c>
      <c r="C9" s="10" t="str">
        <f>IFERROR(__xludf.DUMMYFUNCTION("""COMPUTED_VALUE"""),"STANTON - ARCCORP - Arc-L1")</f>
        <v>STANTON - ARCCORP - Arc-L1</v>
      </c>
      <c r="D9" s="10" t="str">
        <f>IFERROR(__xludf.DUMMYFUNCTION("""COMPUTED_VALUE"""),"ARC-L1")</f>
        <v>ARC-L1</v>
      </c>
      <c r="E9" s="14">
        <f>IFERROR(__xludf.DUMMYFUNCTION("""COMPUTED_VALUE"""),11610.0)</f>
        <v>11610</v>
      </c>
      <c r="F9" s="10" t="str">
        <f>IFERROR(__xludf.DUMMYFUNCTION("""COMPUTED_VALUE"""),"3x Tungsten")</f>
        <v>3x Tungsten</v>
      </c>
      <c r="G9" s="10" t="str">
        <f>IFERROR(__xludf.DUMMYFUNCTION("""COMPUTED_VALUE"""),"Tungsten")</f>
        <v>Tungsten</v>
      </c>
    </row>
    <row r="10">
      <c r="A10" s="13">
        <f>IFERROR(__xludf.DUMMYFUNCTION("""COMPUTED_VALUE"""),46184.8253046412)</f>
        <v>46184.8253</v>
      </c>
      <c r="B10" s="10" t="str">
        <f>IFERROR(__xludf.DUMMYFUNCTION("""COMPUTED_VALUE"""),"Jenner_Darr")</f>
        <v>Jenner_Darr</v>
      </c>
      <c r="C10" s="10" t="str">
        <f>IFERROR(__xludf.DUMMYFUNCTION("""COMPUTED_VALUE"""),"STANTON - ARCCORP - Arc-L1")</f>
        <v>STANTON - ARCCORP - Arc-L1</v>
      </c>
      <c r="D10" s="10" t="str">
        <f>IFERROR(__xludf.DUMMYFUNCTION("""COMPUTED_VALUE"""),"ARC-L1")</f>
        <v>ARC-L1</v>
      </c>
      <c r="E10" s="14">
        <f>IFERROR(__xludf.DUMMYFUNCTION("""COMPUTED_VALUE"""),17140.0)</f>
        <v>17140</v>
      </c>
      <c r="F10" s="10" t="str">
        <f>IFERROR(__xludf.DUMMYFUNCTION("""COMPUTED_VALUE"""),"4x Aluminum")</f>
        <v>4x Aluminum</v>
      </c>
      <c r="G10" s="10" t="str">
        <f>IFERROR(__xludf.DUMMYFUNCTION("""COMPUTED_VALUE"""),"Aluminum")</f>
        <v>Aluminum</v>
      </c>
    </row>
    <row r="11">
      <c r="A11" s="13">
        <f>IFERROR(__xludf.DUMMYFUNCTION("""COMPUTED_VALUE"""),46184.8117481713)</f>
        <v>46184.81175</v>
      </c>
      <c r="B11" s="10" t="str">
        <f>IFERROR(__xludf.DUMMYFUNCTION("""COMPUTED_VALUE"""),"Jenner_Darr")</f>
        <v>Jenner_Darr</v>
      </c>
      <c r="C11" s="10" t="str">
        <f>IFERROR(__xludf.DUMMYFUNCTION("""COMPUTED_VALUE"""),"STANTON - ARCCORP - Arc-L1")</f>
        <v>STANTON - ARCCORP - Arc-L1</v>
      </c>
      <c r="D11" s="10" t="str">
        <f>IFERROR(__xludf.DUMMYFUNCTION("""COMPUTED_VALUE"""),"ARC-L1")</f>
        <v>ARC-L1</v>
      </c>
      <c r="E11" s="14">
        <f>IFERROR(__xludf.DUMMYFUNCTION("""COMPUTED_VALUE"""),25350.0)</f>
        <v>25350</v>
      </c>
      <c r="F11" s="10" t="str">
        <f>IFERROR(__xludf.DUMMYFUNCTION("""COMPUTED_VALUE"""),"6x Corundum")</f>
        <v>6x Corundum</v>
      </c>
      <c r="G11" s="10" t="str">
        <f>IFERROR(__xludf.DUMMYFUNCTION("""COMPUTED_VALUE"""),"Corundum")</f>
        <v>Corundum</v>
      </c>
    </row>
    <row r="12">
      <c r="A12" s="13">
        <f>IFERROR(__xludf.DUMMYFUNCTION("""COMPUTED_VALUE"""),46184.80954805556)</f>
        <v>46184.80955</v>
      </c>
      <c r="B12" s="10" t="str">
        <f>IFERROR(__xludf.DUMMYFUNCTION("""COMPUTED_VALUE"""),"Jenner_Darr")</f>
        <v>Jenner_Darr</v>
      </c>
      <c r="C12" s="10" t="str">
        <f>IFERROR(__xludf.DUMMYFUNCTION("""COMPUTED_VALUE"""),"STANTON - ARCCORP - Arc-L1")</f>
        <v>STANTON - ARCCORP - Arc-L1</v>
      </c>
      <c r="D12" s="10" t="str">
        <f>IFERROR(__xludf.DUMMYFUNCTION("""COMPUTED_VALUE"""),"ARC-L1")</f>
        <v>ARC-L1</v>
      </c>
      <c r="E12" s="14">
        <f>IFERROR(__xludf.DUMMYFUNCTION("""COMPUTED_VALUE"""),14220.0)</f>
        <v>14220</v>
      </c>
      <c r="F12" s="10" t="str">
        <f>IFERROR(__xludf.DUMMYFUNCTION("""COMPUTED_VALUE"""),"4x Taranite")</f>
        <v>4x Taranite</v>
      </c>
      <c r="G12" s="10" t="str">
        <f>IFERROR(__xludf.DUMMYFUNCTION("""COMPUTED_VALUE"""),"Taranite")</f>
        <v>Taranite</v>
      </c>
    </row>
    <row r="13">
      <c r="A13" s="13">
        <f>IFERROR(__xludf.DUMMYFUNCTION("""COMPUTED_VALUE"""),46182.837967430554)</f>
        <v>46182.83797</v>
      </c>
      <c r="B13" s="10" t="str">
        <f>IFERROR(__xludf.DUMMYFUNCTION("""COMPUTED_VALUE"""),"SteelWickerbeast")</f>
        <v>SteelWickerbeast</v>
      </c>
      <c r="C13" s="10" t="str">
        <f>IFERROR(__xludf.DUMMYFUNCTION("""COMPUTED_VALUE"""),"PYRO - MINING BASE - RMB-NIGH")</f>
        <v>PYRO - MINING BASE - RMB-NIGH</v>
      </c>
      <c r="D13" s="10" t="str">
        <f>IFERROR(__xludf.DUMMYFUNCTION("""COMPUTED_VALUE"""),"RMB-NIGH")</f>
        <v>RMB-NIGH</v>
      </c>
      <c r="E13" s="14">
        <f>IFERROR(__xludf.DUMMYFUNCTION("""COMPUTED_VALUE"""),25170.0)</f>
        <v>25170</v>
      </c>
      <c r="F13" s="10" t="str">
        <f>IFERROR(__xludf.DUMMYFUNCTION("""COMPUTED_VALUE"""),"6x Tin")</f>
        <v>6x Tin</v>
      </c>
      <c r="G13" s="10" t="str">
        <f>IFERROR(__xludf.DUMMYFUNCTION("""COMPUTED_VALUE"""),"Tin")</f>
        <v>Tin</v>
      </c>
    </row>
    <row r="14">
      <c r="A14" s="13">
        <f>IFERROR(__xludf.DUMMYFUNCTION("""COMPUTED_VALUE"""),46182.720431875)</f>
        <v>46182.72043</v>
      </c>
      <c r="B14" s="10" t="str">
        <f>IFERROR(__xludf.DUMMYFUNCTION("""COMPUTED_VALUE"""),"SteelWickerbeast")</f>
        <v>SteelWickerbeast</v>
      </c>
      <c r="C14" s="10" t="str">
        <f>IFERROR(__xludf.DUMMYFUNCTION("""COMPUTED_VALUE"""),"PYRO - PYRO 4 - PY4")</f>
        <v>PYRO - PYRO 4 - PY4</v>
      </c>
      <c r="D14" s="10" t="str">
        <f>IFERROR(__xludf.DUMMYFUNCTION("""COMPUTED_VALUE"""),"PY4")</f>
        <v>PY4</v>
      </c>
      <c r="E14" s="14">
        <f>IFERROR(__xludf.DUMMYFUNCTION("""COMPUTED_VALUE"""),10710.0)</f>
        <v>10710</v>
      </c>
      <c r="F14" s="10" t="str">
        <f>IFERROR(__xludf.DUMMYFUNCTION("""COMPUTED_VALUE"""),"3x Borase")</f>
        <v>3x Borase</v>
      </c>
      <c r="G14" s="10" t="str">
        <f>IFERROR(__xludf.DUMMYFUNCTION("""COMPUTED_VALUE"""),"Borase")</f>
        <v>Borase</v>
      </c>
    </row>
    <row r="15">
      <c r="A15" s="13">
        <f>IFERROR(__xludf.DUMMYFUNCTION("""COMPUTED_VALUE"""),46180.99132224537)</f>
        <v>46180.99132</v>
      </c>
      <c r="B15" s="10" t="str">
        <f>IFERROR(__xludf.DUMMYFUNCTION("""COMPUTED_VALUE"""),"SteelWickerbeast")</f>
        <v>SteelWickerbeast</v>
      </c>
      <c r="C15" s="10" t="str">
        <f>IFERROR(__xludf.DUMMYFUNCTION("""COMPUTED_VALUE"""),"STANTON - MICROTECH - Mic")</f>
        <v>STANTON - MICROTECH - Mic</v>
      </c>
      <c r="D15" s="10" t="str">
        <f>IFERROR(__xludf.DUMMYFUNCTION("""COMPUTED_VALUE"""),"MIC")</f>
        <v>MIC</v>
      </c>
      <c r="E15" s="14">
        <f>IFERROR(__xludf.DUMMYFUNCTION("""COMPUTED_VALUE"""),11520.0)</f>
        <v>11520</v>
      </c>
      <c r="F15" s="10" t="str">
        <f>IFERROR(__xludf.DUMMYFUNCTION("""COMPUTED_VALUE"""),"3x Aslarite")</f>
        <v>3x Aslarite</v>
      </c>
      <c r="G15" s="10" t="str">
        <f>IFERROR(__xludf.DUMMYFUNCTION("""COMPUTED_VALUE"""),"Aslarite")</f>
        <v>Aslarite</v>
      </c>
    </row>
    <row r="16">
      <c r="A16" s="13">
        <f>IFERROR(__xludf.DUMMYFUNCTION("""COMPUTED_VALUE"""),46179.82662666666)</f>
        <v>46179.82663</v>
      </c>
      <c r="B16" s="10" t="str">
        <f>IFERROR(__xludf.DUMMYFUNCTION("""COMPUTED_VALUE"""),"SteelWickerbeast")</f>
        <v>SteelWickerbeast</v>
      </c>
      <c r="C16" s="10" t="str">
        <f>IFERROR(__xludf.DUMMYFUNCTION("""COMPUTED_VALUE"""),"STANTON - ARCCORP - Wala")</f>
        <v>STANTON - ARCCORP - Wala</v>
      </c>
      <c r="D16" s="10" t="str">
        <f>IFERROR(__xludf.DUMMYFUNCTION("""COMPUTED_VALUE"""),"WAL")</f>
        <v>WAL</v>
      </c>
      <c r="E16" s="14">
        <f>IFERROR(__xludf.DUMMYFUNCTION("""COMPUTED_VALUE"""),28660.0)</f>
        <v>28660</v>
      </c>
      <c r="F16" s="10" t="str">
        <f>IFERROR(__xludf.DUMMYFUNCTION("""COMPUTED_VALUE"""),"Unknown")</f>
        <v>Unknown</v>
      </c>
      <c r="G16" s="10" t="str">
        <f>IFERROR(__xludf.DUMMYFUNCTION("""COMPUTED_VALUE"""),"Aluminum")</f>
        <v>Aluminum</v>
      </c>
    </row>
    <row r="17">
      <c r="A17" s="13">
        <f>IFERROR(__xludf.DUMMYFUNCTION("""COMPUTED_VALUE"""),46179.81343465277)</f>
        <v>46179.81343</v>
      </c>
      <c r="B17" s="10" t="str">
        <f>IFERROR(__xludf.DUMMYFUNCTION("""COMPUTED_VALUE"""),"SteelWickerbeast")</f>
        <v>SteelWickerbeast</v>
      </c>
      <c r="C17" s="10" t="str">
        <f>IFERROR(__xludf.DUMMYFUNCTION("""COMPUTED_VALUE"""),"STANTON - ARCCORP - Wala")</f>
        <v>STANTON - ARCCORP - Wala</v>
      </c>
      <c r="D17" s="10" t="str">
        <f>IFERROR(__xludf.DUMMYFUNCTION("""COMPUTED_VALUE"""),"WAL")</f>
        <v>WAL</v>
      </c>
      <c r="E17" s="14">
        <f>IFERROR(__xludf.DUMMYFUNCTION("""COMPUTED_VALUE"""),14160.0)</f>
        <v>14160</v>
      </c>
      <c r="F17" s="10" t="str">
        <f>IFERROR(__xludf.DUMMYFUNCTION("""COMPUTED_VALUE"""),"4x Beryl | 3x Tungsten")</f>
        <v>4x Beryl | 3x Tungsten</v>
      </c>
      <c r="G17" s="10" t="str">
        <f>IFERROR(__xludf.DUMMYFUNCTION("""COMPUTED_VALUE"""),"Beryl")</f>
        <v>Beryl</v>
      </c>
    </row>
    <row r="18">
      <c r="A18" s="13">
        <f>IFERROR(__xludf.DUMMYFUNCTION("""COMPUTED_VALUE"""),46173.86106563658)</f>
        <v>46173.86107</v>
      </c>
      <c r="B18" s="10" t="str">
        <f>IFERROR(__xludf.DUMMYFUNCTION("""COMPUTED_VALUE"""),"Jenner_Darr")</f>
        <v>Jenner_Darr</v>
      </c>
      <c r="C18" s="10" t="str">
        <f>IFERROR(__xludf.DUMMYFUNCTION("""COMPUTED_VALUE"""),"PYRO - MINING  - RAB-KNAP")</f>
        <v>PYRO - MINING  - RAB-KNAP</v>
      </c>
      <c r="D18" s="10" t="str">
        <f>IFERROR(__xludf.DUMMYFUNCTION("""COMPUTED_VALUE"""),"KEEG")</f>
        <v>KEEG</v>
      </c>
      <c r="E18" s="14">
        <f>IFERROR(__xludf.DUMMYFUNCTION("""COMPUTED_VALUE"""),10155.0)</f>
        <v>10155</v>
      </c>
      <c r="F18" s="10" t="str">
        <f>IFERROR(__xludf.DUMMYFUNCTION("""COMPUTED_VALUE"""),"3x Riccite")</f>
        <v>3x Riccite</v>
      </c>
      <c r="G18" s="10" t="str">
        <f>IFERROR(__xludf.DUMMYFUNCTION("""COMPUTED_VALUE"""),"Riccite")</f>
        <v>Riccite</v>
      </c>
    </row>
    <row r="19">
      <c r="A19" s="13">
        <f>IFERROR(__xludf.DUMMYFUNCTION("""COMPUTED_VALUE"""),46173.859610590276)</f>
        <v>46173.85961</v>
      </c>
      <c r="B19" s="10" t="str">
        <f>IFERROR(__xludf.DUMMYFUNCTION("""COMPUTED_VALUE"""),"Jenner_Darr")</f>
        <v>Jenner_Darr</v>
      </c>
      <c r="C19" s="10" t="str">
        <f>IFERROR(__xludf.DUMMYFUNCTION("""COMPUTED_VALUE"""),"PYRO - MINING  - RAB-KNAP")</f>
        <v>PYRO - MINING  - RAB-KNAP</v>
      </c>
      <c r="D19" s="10" t="str">
        <f>IFERROR(__xludf.DUMMYFUNCTION("""COMPUTED_VALUE"""),"KEEG")</f>
        <v>KEEG</v>
      </c>
      <c r="E19" s="14">
        <f>IFERROR(__xludf.DUMMYFUNCTION("""COMPUTED_VALUE"""),16780.0)</f>
        <v>16780</v>
      </c>
      <c r="F19" s="10" t="str">
        <f>IFERROR(__xludf.DUMMYFUNCTION("""COMPUTED_VALUE"""),"4x Tin")</f>
        <v>4x Tin</v>
      </c>
      <c r="G19" s="10" t="str">
        <f>IFERROR(__xludf.DUMMYFUNCTION("""COMPUTED_VALUE"""),"Tin")</f>
        <v>Tin</v>
      </c>
    </row>
    <row r="20">
      <c r="A20" s="13">
        <f>IFERROR(__xludf.DUMMYFUNCTION("""COMPUTED_VALUE"""),46173.74769269676)</f>
        <v>46173.74769</v>
      </c>
      <c r="B20" s="10" t="str">
        <f>IFERROR(__xludf.DUMMYFUNCTION("""COMPUTED_VALUE"""),"Jenner_Darr")</f>
        <v>Jenner_Darr</v>
      </c>
      <c r="C20" s="10" t="str">
        <f>IFERROR(__xludf.DUMMYFUNCTION("""COMPUTED_VALUE"""),"PYRO - MINING BASE - Select Site")</f>
        <v>PYRO - MINING BASE - Select Site</v>
      </c>
      <c r="D20" s="10" t="str">
        <f>IFERROR(__xludf.DUMMYFUNCTION("""COMPUTED_VALUE"""),"KEEG")</f>
        <v>KEEG</v>
      </c>
      <c r="E20" s="14">
        <f>IFERROR(__xludf.DUMMYFUNCTION("""COMPUTED_VALUE"""),16780.0)</f>
        <v>16780</v>
      </c>
      <c r="F20" s="10" t="str">
        <f>IFERROR(__xludf.DUMMYFUNCTION("""COMPUTED_VALUE"""),"4x Tin")</f>
        <v>4x Tin</v>
      </c>
      <c r="G20" s="10" t="str">
        <f>IFERROR(__xludf.DUMMYFUNCTION("""COMPUTED_VALUE"""),"Tin")</f>
        <v>Tin</v>
      </c>
    </row>
    <row r="21">
      <c r="A21" s="13">
        <f>IFERROR(__xludf.DUMMYFUNCTION("""COMPUTED_VALUE"""),46171.14329739583)</f>
        <v>46171.1433</v>
      </c>
      <c r="B21" s="10" t="str">
        <f>IFERROR(__xludf.DUMMYFUNCTION("""COMPUTED_VALUE"""),"Jenner_Darr")</f>
        <v>Jenner_Darr</v>
      </c>
      <c r="C21" s="10" t="str">
        <f>IFERROR(__xludf.DUMMYFUNCTION("""COMPUTED_VALUE"""),"NYX - KEEGER BELT - Belt ")</f>
        <v>NYX - KEEGER BELT - Belt </v>
      </c>
      <c r="D21" s="10" t="str">
        <f>IFERROR(__xludf.DUMMYFUNCTION("""COMPUTED_VALUE"""),"KEEG")</f>
        <v>KEEG</v>
      </c>
      <c r="E21" s="14">
        <f>IFERROR(__xludf.DUMMYFUNCTION("""COMPUTED_VALUE"""),17080.0)</f>
        <v>17080</v>
      </c>
      <c r="F21" s="10" t="str">
        <f>IFERROR(__xludf.DUMMYFUNCTION("""COMPUTED_VALUE"""),"4x Iron")</f>
        <v>4x Iron</v>
      </c>
      <c r="G21" s="10" t="str">
        <f>IFERROR(__xludf.DUMMYFUNCTION("""COMPUTED_VALUE"""),"Iron")</f>
        <v>Iron</v>
      </c>
    </row>
    <row r="22">
      <c r="A22" s="13">
        <f>IFERROR(__xludf.DUMMYFUNCTION("""COMPUTED_VALUE"""),46171.125211550934)</f>
        <v>46171.12521</v>
      </c>
      <c r="B22" s="10" t="str">
        <f>IFERROR(__xludf.DUMMYFUNCTION("""COMPUTED_VALUE"""),"Jenner_Darr")</f>
        <v>Jenner_Darr</v>
      </c>
      <c r="C22" s="10" t="str">
        <f>IFERROR(__xludf.DUMMYFUNCTION("""COMPUTED_VALUE"""),"NYX - KEEGER BELT - Belt ")</f>
        <v>NYX - KEEGER BELT - Belt </v>
      </c>
      <c r="D22" s="10" t="str">
        <f>IFERROR(__xludf.DUMMYFUNCTION("""COMPUTED_VALUE"""),"KEEG")</f>
        <v>KEEG</v>
      </c>
      <c r="E22" s="14">
        <f>IFERROR(__xludf.DUMMYFUNCTION("""COMPUTED_VALUE"""),17140.0)</f>
        <v>17140</v>
      </c>
      <c r="F22" s="10" t="str">
        <f>IFERROR(__xludf.DUMMYFUNCTION("""COMPUTED_VALUE"""),"4x Aluminum")</f>
        <v>4x Aluminum</v>
      </c>
      <c r="G22" s="10" t="str">
        <f>IFERROR(__xludf.DUMMYFUNCTION("""COMPUTED_VALUE"""),"Aluminum")</f>
        <v>Aluminum</v>
      </c>
    </row>
    <row r="23">
      <c r="A23" s="13">
        <f>IFERROR(__xludf.DUMMYFUNCTION("""COMPUTED_VALUE"""),46170.8003290162)</f>
        <v>46170.80033</v>
      </c>
      <c r="B23" s="10" t="str">
        <f>IFERROR(__xludf.DUMMYFUNCTION("""COMPUTED_VALUE"""),"Jenner_Darr")</f>
        <v>Jenner_Darr</v>
      </c>
      <c r="C23" s="10" t="str">
        <f>IFERROR(__xludf.DUMMYFUNCTION("""COMPUTED_VALUE"""),"NYX - KEEGER BELT - Belt ")</f>
        <v>NYX - KEEGER BELT - Belt </v>
      </c>
      <c r="D23" s="10" t="str">
        <f>IFERROR(__xludf.DUMMYFUNCTION("""COMPUTED_VALUE"""),"KEEG")</f>
        <v>KEEG</v>
      </c>
      <c r="E23" s="14">
        <f>IFERROR(__xludf.DUMMYFUNCTION("""COMPUTED_VALUE"""),15600.0)</f>
        <v>15600</v>
      </c>
      <c r="F23" s="10" t="str">
        <f>IFERROR(__xludf.DUMMYFUNCTION("""COMPUTED_VALUE"""),"4x Torite")</f>
        <v>4x Torite</v>
      </c>
      <c r="G23" s="10" t="str">
        <f>IFERROR(__xludf.DUMMYFUNCTION("""COMPUTED_VALUE"""),"Torite")</f>
        <v>Torite</v>
      </c>
    </row>
    <row r="24">
      <c r="A24" s="13">
        <f>IFERROR(__xludf.DUMMYFUNCTION("""COMPUTED_VALUE"""),46170.78457037037)</f>
        <v>46170.78457</v>
      </c>
      <c r="B24" s="10" t="str">
        <f>IFERROR(__xludf.DUMMYFUNCTION("""COMPUTED_VALUE"""),"Jenner_Darr")</f>
        <v>Jenner_Darr</v>
      </c>
      <c r="C24" s="10" t="str">
        <f>IFERROR(__xludf.DUMMYFUNCTION("""COMPUTED_VALUE"""),"NYX - KEEGER BELT - Belt ")</f>
        <v>NYX - KEEGER BELT - Belt </v>
      </c>
      <c r="D24" s="10" t="str">
        <f>IFERROR(__xludf.DUMMYFUNCTION("""COMPUTED_VALUE"""),"KEEG")</f>
        <v>KEEG</v>
      </c>
      <c r="E24" s="14">
        <f>IFERROR(__xludf.DUMMYFUNCTION("""COMPUTED_VALUE"""),21350.0)</f>
        <v>21350</v>
      </c>
      <c r="F24" s="10" t="str">
        <f>IFERROR(__xludf.DUMMYFUNCTION("""COMPUTED_VALUE"""),"5x Iron")</f>
        <v>5x Iron</v>
      </c>
      <c r="G24" s="10" t="str">
        <f>IFERROR(__xludf.DUMMYFUNCTION("""COMPUTED_VALUE"""),"Iron")</f>
        <v>Iron</v>
      </c>
    </row>
    <row r="25">
      <c r="A25" s="13">
        <f>IFERROR(__xludf.DUMMYFUNCTION("""COMPUTED_VALUE"""),46170.782206111115)</f>
        <v>46170.78221</v>
      </c>
      <c r="B25" s="10" t="str">
        <f>IFERROR(__xludf.DUMMYFUNCTION("""COMPUTED_VALUE"""),"Jenner_Darr")</f>
        <v>Jenner_Darr</v>
      </c>
      <c r="C25" s="10" t="str">
        <f>IFERROR(__xludf.DUMMYFUNCTION("""COMPUTED_VALUE"""),"NYX - KEEGER BELT - Belt ")</f>
        <v>NYX - KEEGER BELT - Belt </v>
      </c>
      <c r="D25" s="10" t="str">
        <f>IFERROR(__xludf.DUMMYFUNCTION("""COMPUTED_VALUE"""),"KEEG")</f>
        <v>KEEG</v>
      </c>
      <c r="E25" s="14">
        <f>IFERROR(__xludf.DUMMYFUNCTION("""COMPUTED_VALUE"""),10800.0)</f>
        <v>10800</v>
      </c>
      <c r="F25" s="10" t="str">
        <f>IFERROR(__xludf.DUMMYFUNCTION("""COMPUTED_VALUE"""),"3x Bexalite")</f>
        <v>3x Bexalite</v>
      </c>
      <c r="G25" s="10" t="str">
        <f>IFERROR(__xludf.DUMMYFUNCTION("""COMPUTED_VALUE"""),"Bexalite")</f>
        <v>Bexalite</v>
      </c>
    </row>
    <row r="26">
      <c r="A26" s="13">
        <f>IFERROR(__xludf.DUMMYFUNCTION("""COMPUTED_VALUE"""),46160.86280877315)</f>
        <v>46160.86281</v>
      </c>
      <c r="B26" s="10" t="str">
        <f>IFERROR(__xludf.DUMMYFUNCTION("""COMPUTED_VALUE"""),"Dansec")</f>
        <v>Dansec</v>
      </c>
      <c r="C26" s="10" t="str">
        <f>IFERROR(__xludf.DUMMYFUNCTION("""COMPUTED_VALUE"""),"STANTON - HURSTON - HUR-L3")</f>
        <v>STANTON - HURSTON - HUR-L3</v>
      </c>
      <c r="D26" s="10" t="str">
        <f>IFERROR(__xludf.DUMMYFUNCTION("""COMPUTED_VALUE"""),"HUR-L3")</f>
        <v>HUR-L3</v>
      </c>
      <c r="E26" s="14">
        <f>IFERROR(__xludf.DUMMYFUNCTION("""COMPUTED_VALUE"""),11565.0)</f>
        <v>11565</v>
      </c>
      <c r="F26" s="10" t="str">
        <f>IFERROR(__xludf.DUMMYFUNCTION("""COMPUTED_VALUE"""),"3x Titanium")</f>
        <v>3x Titanium</v>
      </c>
      <c r="G26" s="10" t="str">
        <f>IFERROR(__xludf.DUMMYFUNCTION("""COMPUTED_VALUE"""),"Titanium")</f>
        <v>Titanium</v>
      </c>
    </row>
    <row r="27">
      <c r="A27" s="13">
        <f>IFERROR(__xludf.DUMMYFUNCTION("""COMPUTED_VALUE"""),46160.86092131945)</f>
        <v>46160.86092</v>
      </c>
      <c r="B27" s="10" t="str">
        <f>IFERROR(__xludf.DUMMYFUNCTION("""COMPUTED_VALUE"""),"Dansec")</f>
        <v>Dansec</v>
      </c>
      <c r="C27" s="10" t="str">
        <f>IFERROR(__xludf.DUMMYFUNCTION("""COMPUTED_VALUE"""),"STANTON - HURSTON - HUR-L3")</f>
        <v>STANTON - HURSTON - HUR-L3</v>
      </c>
      <c r="D27" s="10" t="str">
        <f>IFERROR(__xludf.DUMMYFUNCTION("""COMPUTED_VALUE"""),"HUR-L3")</f>
        <v>HUR-L3</v>
      </c>
      <c r="E27" s="14">
        <f>IFERROR(__xludf.DUMMYFUNCTION("""COMPUTED_VALUE"""),7200.0)</f>
        <v>7200</v>
      </c>
      <c r="F27" s="10" t="str">
        <f>IFERROR(__xludf.DUMMYFUNCTION("""COMPUTED_VALUE"""),"2x Bexalite")</f>
        <v>2x Bexalite</v>
      </c>
      <c r="G27" s="10" t="str">
        <f>IFERROR(__xludf.DUMMYFUNCTION("""COMPUTED_VALUE"""),"Bexalite")</f>
        <v>Bexalite</v>
      </c>
    </row>
    <row r="28">
      <c r="A28" s="13">
        <f>IFERROR(__xludf.DUMMYFUNCTION("""COMPUTED_VALUE"""),46160.84876829861)</f>
        <v>46160.84877</v>
      </c>
      <c r="B28" s="10" t="str">
        <f>IFERROR(__xludf.DUMMYFUNCTION("""COMPUTED_VALUE"""),"Dansec")</f>
        <v>Dansec</v>
      </c>
      <c r="C28" s="10" t="str">
        <f>IFERROR(__xludf.DUMMYFUNCTION("""COMPUTED_VALUE"""),"STANTON - HURSTON - HUR-L3")</f>
        <v>STANTON - HURSTON - HUR-L3</v>
      </c>
      <c r="D28" s="10" t="str">
        <f>IFERROR(__xludf.DUMMYFUNCTION("""COMPUTED_VALUE"""),"HUR-L3")</f>
        <v>HUR-L3</v>
      </c>
      <c r="E28" s="14">
        <f>IFERROR(__xludf.DUMMYFUNCTION("""COMPUTED_VALUE"""),21350.0)</f>
        <v>21350</v>
      </c>
      <c r="F28" s="10" t="str">
        <f>IFERROR(__xludf.DUMMYFUNCTION("""COMPUTED_VALUE"""),"5x Iron")</f>
        <v>5x Iron</v>
      </c>
      <c r="G28" s="10" t="str">
        <f>IFERROR(__xludf.DUMMYFUNCTION("""COMPUTED_VALUE"""),"Iron")</f>
        <v>Iron</v>
      </c>
    </row>
    <row r="29">
      <c r="A29" s="13">
        <f>IFERROR(__xludf.DUMMYFUNCTION("""COMPUTED_VALUE"""),46159.97189581018)</f>
        <v>46159.9719</v>
      </c>
      <c r="B29" s="10" t="str">
        <f>IFERROR(__xludf.DUMMYFUNCTION("""COMPUTED_VALUE"""),"Dansec")</f>
        <v>Dansec</v>
      </c>
      <c r="C29" s="10" t="str">
        <f>IFERROR(__xludf.DUMMYFUNCTION("""COMPUTED_VALUE"""),"STANTON - MICROTECH - MIC-L1")</f>
        <v>STANTON - MICROTECH - MIC-L1</v>
      </c>
      <c r="D29" s="10" t="str">
        <f>IFERROR(__xludf.DUMMYFUNCTION("""COMPUTED_VALUE"""),"MIC-L1")</f>
        <v>MIC-L1</v>
      </c>
      <c r="E29" s="14">
        <f>IFERROR(__xludf.DUMMYFUNCTION("""COMPUTED_VALUE"""),21425.0)</f>
        <v>21425</v>
      </c>
      <c r="F29" s="10" t="str">
        <f>IFERROR(__xludf.DUMMYFUNCTION("""COMPUTED_VALUE"""),"5x Aluminum")</f>
        <v>5x Aluminum</v>
      </c>
      <c r="G29" s="10" t="str">
        <f>IFERROR(__xludf.DUMMYFUNCTION("""COMPUTED_VALUE"""),"Aluminum")</f>
        <v>Aluminum</v>
      </c>
    </row>
    <row r="30">
      <c r="A30" s="13">
        <f>IFERROR(__xludf.DUMMYFUNCTION("""COMPUTED_VALUE"""),46153.02889498843)</f>
        <v>46153.02889</v>
      </c>
      <c r="B30" s="10" t="str">
        <f>IFERROR(__xludf.DUMMYFUNCTION("""COMPUTED_VALUE"""),"Tankergeebs")</f>
        <v>Tankergeebs</v>
      </c>
      <c r="C30" s="10" t="str">
        <f>IFERROR(__xludf.DUMMYFUNCTION("""COMPUTED_VALUE"""),"STANTON - ARCCORP - Arc-L1")</f>
        <v>STANTON - ARCCORP - Arc-L1</v>
      </c>
      <c r="D30" s="10" t="str">
        <f>IFERROR(__xludf.DUMMYFUNCTION("""COMPUTED_VALUE"""),"ARC-L1")</f>
        <v>ARC-L1</v>
      </c>
      <c r="E30" s="14">
        <f>IFERROR(__xludf.DUMMYFUNCTION("""COMPUTED_VALUE"""),16960.0)</f>
        <v>16960</v>
      </c>
      <c r="F30" s="10" t="str">
        <f>IFERROR(__xludf.DUMMYFUNCTION("""COMPUTED_VALUE"""),"None")</f>
        <v>None</v>
      </c>
      <c r="G30" s="10" t="str">
        <f>IFERROR(__xludf.DUMMYFUNCTION("""COMPUTED_VALUE"""),"Copper")</f>
        <v>Copper</v>
      </c>
    </row>
    <row r="31">
      <c r="A31" s="13">
        <f>IFERROR(__xludf.DUMMYFUNCTION("""COMPUTED_VALUE"""),46153.028259861116)</f>
        <v>46153.02826</v>
      </c>
      <c r="B31" s="10" t="str">
        <f>IFERROR(__xludf.DUMMYFUNCTION("""COMPUTED_VALUE"""),"Tankergeebs")</f>
        <v>Tankergeebs</v>
      </c>
      <c r="C31" s="10" t="str">
        <f>IFERROR(__xludf.DUMMYFUNCTION("""COMPUTED_VALUE"""),"STANTON - ARCCORP - Arc-L1")</f>
        <v>STANTON - ARCCORP - Arc-L1</v>
      </c>
      <c r="D31" s="10" t="str">
        <f>IFERROR(__xludf.DUMMYFUNCTION("""COMPUTED_VALUE"""),"ARC-L1")</f>
        <v>ARC-L1</v>
      </c>
      <c r="E31" s="14">
        <f>IFERROR(__xludf.DUMMYFUNCTION("""COMPUTED_VALUE"""),17200.0)</f>
        <v>17200</v>
      </c>
      <c r="F31" s="10" t="str">
        <f>IFERROR(__xludf.DUMMYFUNCTION("""COMPUTED_VALUE"""),"None")</f>
        <v>None</v>
      </c>
      <c r="G31" s="10" t="str">
        <f>IFERROR(__xludf.DUMMYFUNCTION("""COMPUTED_VALUE"""),"Beryl")</f>
        <v>Beryl</v>
      </c>
    </row>
    <row r="32">
      <c r="A32" s="13">
        <f>IFERROR(__xludf.DUMMYFUNCTION("""COMPUTED_VALUE"""),46153.01538438658)</f>
        <v>46153.01538</v>
      </c>
      <c r="B32" s="10" t="str">
        <f>IFERROR(__xludf.DUMMYFUNCTION("""COMPUTED_VALUE"""),"Tankergeebs")</f>
        <v>Tankergeebs</v>
      </c>
      <c r="C32" s="10" t="str">
        <f>IFERROR(__xludf.DUMMYFUNCTION("""COMPUTED_VALUE"""),"STANTON - ARCCORP - Arc-L1")</f>
        <v>STANTON - ARCCORP - Arc-L1</v>
      </c>
      <c r="D32" s="10" t="str">
        <f>IFERROR(__xludf.DUMMYFUNCTION("""COMPUTED_VALUE"""),"ARC-L1")</f>
        <v>ARC-L1</v>
      </c>
      <c r="E32" s="14">
        <f>IFERROR(__xludf.DUMMYFUNCTION("""COMPUTED_VALUE"""),25530.0)</f>
        <v>25530</v>
      </c>
      <c r="F32" s="10" t="str">
        <f>IFERROR(__xludf.DUMMYFUNCTION("""COMPUTED_VALUE"""),"None")</f>
        <v>None</v>
      </c>
      <c r="G32" s="10" t="str">
        <f>IFERROR(__xludf.DUMMYFUNCTION("""COMPUTED_VALUE"""),"Silicon")</f>
        <v>Silicon</v>
      </c>
    </row>
    <row r="33">
      <c r="A33" s="13">
        <f>IFERROR(__xludf.DUMMYFUNCTION("""COMPUTED_VALUE"""),46153.012982546294)</f>
        <v>46153.01298</v>
      </c>
      <c r="B33" s="10" t="str">
        <f>IFERROR(__xludf.DUMMYFUNCTION("""COMPUTED_VALUE"""),"Tankergeebs")</f>
        <v>Tankergeebs</v>
      </c>
      <c r="C33" s="10" t="str">
        <f>IFERROR(__xludf.DUMMYFUNCTION("""COMPUTED_VALUE"""),"STANTON - ARCCORP - Arc-L1")</f>
        <v>STANTON - ARCCORP - Arc-L1</v>
      </c>
      <c r="D33" s="10" t="str">
        <f>IFERROR(__xludf.DUMMYFUNCTION("""COMPUTED_VALUE"""),"ARC-L1")</f>
        <v>ARC-L1</v>
      </c>
      <c r="E33" s="14">
        <f>IFERROR(__xludf.DUMMYFUNCTION("""COMPUTED_VALUE"""),16960.0)</f>
        <v>16960</v>
      </c>
      <c r="F33" s="10" t="str">
        <f>IFERROR(__xludf.DUMMYFUNCTION("""COMPUTED_VALUE"""),"None")</f>
        <v>None</v>
      </c>
      <c r="G33" s="10" t="str">
        <f>IFERROR(__xludf.DUMMYFUNCTION("""COMPUTED_VALUE"""),"Titanium")</f>
        <v>Titanium</v>
      </c>
    </row>
    <row r="34">
      <c r="A34" s="13">
        <f>IFERROR(__xludf.DUMMYFUNCTION("""COMPUTED_VALUE"""),46152.98668391204)</f>
        <v>46152.98668</v>
      </c>
      <c r="B34" s="10" t="str">
        <f>IFERROR(__xludf.DUMMYFUNCTION("""COMPUTED_VALUE"""),"Tankergeebs")</f>
        <v>Tankergeebs</v>
      </c>
      <c r="C34" s="10" t="str">
        <f>IFERROR(__xludf.DUMMYFUNCTION("""COMPUTED_VALUE"""),"STANTON - ARCCORP - Arc-L1")</f>
        <v>STANTON - ARCCORP - Arc-L1</v>
      </c>
      <c r="D34" s="10" t="str">
        <f>IFERROR(__xludf.DUMMYFUNCTION("""COMPUTED_VALUE"""),"ARC-L1")</f>
        <v>ARC-L1</v>
      </c>
      <c r="E34" s="14">
        <f>IFERROR(__xludf.DUMMYFUNCTION("""COMPUTED_VALUE"""),11565.0)</f>
        <v>11565</v>
      </c>
      <c r="F34" s="10" t="str">
        <f>IFERROR(__xludf.DUMMYFUNCTION("""COMPUTED_VALUE"""),"None")</f>
        <v>None</v>
      </c>
      <c r="G34" s="10" t="str">
        <f>IFERROR(__xludf.DUMMYFUNCTION("""COMPUTED_VALUE"""),"Titanium")</f>
        <v>Titanium</v>
      </c>
    </row>
    <row r="35">
      <c r="A35" s="13">
        <f>IFERROR(__xludf.DUMMYFUNCTION("""COMPUTED_VALUE"""),46149.84695837963)</f>
        <v>46149.84696</v>
      </c>
      <c r="B35" s="10" t="str">
        <f>IFERROR(__xludf.DUMMYFUNCTION("""COMPUTED_VALUE"""),"Dansec")</f>
        <v>Dansec</v>
      </c>
      <c r="C35" s="10" t="str">
        <f>IFERROR(__xludf.DUMMYFUNCTION("""COMPUTED_VALUE"""),"NYX - GLACIEAN BELT  - Belt ")</f>
        <v>NYX - GLACIEAN BELT  - Belt </v>
      </c>
      <c r="D35" s="10" t="str">
        <f>IFERROR(__xludf.DUMMYFUNCTION("""COMPUTED_VALUE"""),"GLAC")</f>
        <v>GLAC</v>
      </c>
      <c r="E35" s="14">
        <f>IFERROR(__xludf.DUMMYFUNCTION("""COMPUTED_VALUE"""),3200.0)</f>
        <v>3200</v>
      </c>
      <c r="F35" s="10" t="str">
        <f>IFERROR(__xludf.DUMMYFUNCTION("""COMPUTED_VALUE"""),"1x Savrilium")</f>
        <v>1x Savrilium</v>
      </c>
      <c r="G35" s="10" t="str">
        <f>IFERROR(__xludf.DUMMYFUNCTION("""COMPUTED_VALUE"""),"Savrilium")</f>
        <v>Savrilium</v>
      </c>
    </row>
    <row r="36">
      <c r="A36" s="13">
        <f>IFERROR(__xludf.DUMMYFUNCTION("""COMPUTED_VALUE"""),46149.83832122685)</f>
        <v>46149.83832</v>
      </c>
      <c r="B36" s="10" t="str">
        <f>IFERROR(__xludf.DUMMYFUNCTION("""COMPUTED_VALUE"""),"Dansec")</f>
        <v>Dansec</v>
      </c>
      <c r="C36" s="10" t="str">
        <f>IFERROR(__xludf.DUMMYFUNCTION("""COMPUTED_VALUE"""),"NYX - GLACIEAN BELT  - Belt ")</f>
        <v>NYX - GLACIEAN BELT  - Belt </v>
      </c>
      <c r="D36" s="10" t="str">
        <f>IFERROR(__xludf.DUMMYFUNCTION("""COMPUTED_VALUE"""),"GLAC")</f>
        <v>GLAC</v>
      </c>
      <c r="E36" s="14">
        <f>IFERROR(__xludf.DUMMYFUNCTION("""COMPUTED_VALUE"""),11700.0)</f>
        <v>11700</v>
      </c>
      <c r="F36" s="10" t="str">
        <f>IFERROR(__xludf.DUMMYFUNCTION("""COMPUTED_VALUE"""),"3x Torite")</f>
        <v>3x Torite</v>
      </c>
      <c r="G36" s="10" t="str">
        <f>IFERROR(__xludf.DUMMYFUNCTION("""COMPUTED_VALUE"""),"Torite")</f>
        <v>Torite</v>
      </c>
    </row>
    <row r="37">
      <c r="A37" s="13">
        <f>IFERROR(__xludf.DUMMYFUNCTION("""COMPUTED_VALUE"""),46147.9751172801)</f>
        <v>46147.97512</v>
      </c>
      <c r="B37" s="10" t="str">
        <f>IFERROR(__xludf.DUMMYFUNCTION("""COMPUTED_VALUE"""),"Dansec")</f>
        <v>Dansec</v>
      </c>
      <c r="C37" s="10" t="str">
        <f>IFERROR(__xludf.DUMMYFUNCTION("""COMPUTED_VALUE"""),"NYX - GLACIEAN BELT  - Belt ")</f>
        <v>NYX - GLACIEAN BELT  - Belt </v>
      </c>
      <c r="D37" s="10" t="str">
        <f>IFERROR(__xludf.DUMMYFUNCTION("""COMPUTED_VALUE"""),"GLAC")</f>
        <v>GLAC</v>
      </c>
      <c r="E37" s="14">
        <f>IFERROR(__xludf.DUMMYFUNCTION("""COMPUTED_VALUE"""),12855.0)</f>
        <v>12855</v>
      </c>
      <c r="F37" s="10" t="str">
        <f>IFERROR(__xludf.DUMMYFUNCTION("""COMPUTED_VALUE"""),"3x Aluminum")</f>
        <v>3x Aluminum</v>
      </c>
      <c r="G37" s="10" t="str">
        <f>IFERROR(__xludf.DUMMYFUNCTION("""COMPUTED_VALUE"""),"Aluminum")</f>
        <v>Aluminum</v>
      </c>
    </row>
    <row r="38">
      <c r="A38" s="13">
        <f>IFERROR(__xludf.DUMMYFUNCTION("""COMPUTED_VALUE"""),46147.97388067129)</f>
        <v>46147.97388</v>
      </c>
      <c r="B38" s="10" t="str">
        <f>IFERROR(__xludf.DUMMYFUNCTION("""COMPUTED_VALUE"""),"Dansec")</f>
        <v>Dansec</v>
      </c>
      <c r="C38" s="10" t="str">
        <f>IFERROR(__xludf.DUMMYFUNCTION("""COMPUTED_VALUE"""),"NYX - GLACIEAN BELT  - Belt ")</f>
        <v>NYX - GLACIEAN BELT  - Belt </v>
      </c>
      <c r="D38" s="10" t="str">
        <f>IFERROR(__xludf.DUMMYFUNCTION("""COMPUTED_VALUE"""),"GLAC")</f>
        <v>GLAC</v>
      </c>
      <c r="E38" s="14">
        <f>IFERROR(__xludf.DUMMYFUNCTION("""COMPUTED_VALUE"""),10200.0)</f>
        <v>10200</v>
      </c>
      <c r="F38" s="10" t="str">
        <f>IFERROR(__xludf.DUMMYFUNCTION("""COMPUTED_VALUE"""),"3x Lindinium")</f>
        <v>3x Lindinium</v>
      </c>
      <c r="G38" s="10" t="str">
        <f>IFERROR(__xludf.DUMMYFUNCTION("""COMPUTED_VALUE"""),"Lindinium")</f>
        <v>Lindinium</v>
      </c>
    </row>
    <row r="39">
      <c r="A39" s="13">
        <f>IFERROR(__xludf.DUMMYFUNCTION("""COMPUTED_VALUE"""),46147.971691087965)</f>
        <v>46147.97169</v>
      </c>
      <c r="B39" s="10" t="str">
        <f>IFERROR(__xludf.DUMMYFUNCTION("""COMPUTED_VALUE"""),"Dansec")</f>
        <v>Dansec</v>
      </c>
      <c r="C39" s="10" t="str">
        <f>IFERROR(__xludf.DUMMYFUNCTION("""COMPUTED_VALUE"""),"NYX - GLACIEAN BELT  - Belt ")</f>
        <v>NYX - GLACIEAN BELT  - Belt </v>
      </c>
      <c r="D39" s="10" t="str">
        <f>IFERROR(__xludf.DUMMYFUNCTION("""COMPUTED_VALUE"""),"GLAC")</f>
        <v>GLAC</v>
      </c>
      <c r="E39" s="14">
        <f>IFERROR(__xludf.DUMMYFUNCTION("""COMPUTED_VALUE"""),10800.0)</f>
        <v>10800</v>
      </c>
      <c r="F39" s="10" t="str">
        <f>IFERROR(__xludf.DUMMYFUNCTION("""COMPUTED_VALUE"""),"3x Bexalite")</f>
        <v>3x Bexalite</v>
      </c>
      <c r="G39" s="10" t="str">
        <f>IFERROR(__xludf.DUMMYFUNCTION("""COMPUTED_VALUE"""),"Bexalite")</f>
        <v>Bexalite</v>
      </c>
    </row>
    <row r="40">
      <c r="A40" s="13">
        <f>IFERROR(__xludf.DUMMYFUNCTION("""COMPUTED_VALUE"""),46147.96940822917)</f>
        <v>46147.96941</v>
      </c>
      <c r="B40" s="10" t="str">
        <f>IFERROR(__xludf.DUMMYFUNCTION("""COMPUTED_VALUE"""),"Dansec")</f>
        <v>Dansec</v>
      </c>
      <c r="C40" s="10" t="str">
        <f>IFERROR(__xludf.DUMMYFUNCTION("""COMPUTED_VALUE"""),"NYX - GLACIEAN BELT  - Belt ")</f>
        <v>NYX - GLACIEAN BELT  - Belt </v>
      </c>
      <c r="D40" s="10" t="str">
        <f>IFERROR(__xludf.DUMMYFUNCTION("""COMPUTED_VALUE"""),"GLAC")</f>
        <v>GLAC</v>
      </c>
      <c r="E40" s="14">
        <f>IFERROR(__xludf.DUMMYFUNCTION("""COMPUTED_VALUE"""),7200.0)</f>
        <v>7200</v>
      </c>
      <c r="F40" s="10" t="str">
        <f>IFERROR(__xludf.DUMMYFUNCTION("""COMPUTED_VALUE"""),"2x Bexalite")</f>
        <v>2x Bexalite</v>
      </c>
      <c r="G40" s="10" t="str">
        <f>IFERROR(__xludf.DUMMYFUNCTION("""COMPUTED_VALUE"""),"Bexalite")</f>
        <v>Bexalite</v>
      </c>
    </row>
    <row r="41">
      <c r="A41" s="13">
        <f>IFERROR(__xludf.DUMMYFUNCTION("""COMPUTED_VALUE"""),46147.967866620376)</f>
        <v>46147.96787</v>
      </c>
      <c r="B41" s="10" t="str">
        <f>IFERROR(__xludf.DUMMYFUNCTION("""COMPUTED_VALUE"""),"Dansec")</f>
        <v>Dansec</v>
      </c>
      <c r="C41" s="10" t="str">
        <f>IFERROR(__xludf.DUMMYFUNCTION("""COMPUTED_VALUE"""),"NYX - GLACIEAN BELT  - Belt ")</f>
        <v>NYX - GLACIEAN BELT  - Belt </v>
      </c>
      <c r="D41" s="10" t="str">
        <f>IFERROR(__xludf.DUMMYFUNCTION("""COMPUTED_VALUE"""),"GLAC")</f>
        <v>GLAC</v>
      </c>
      <c r="E41" s="14">
        <f>IFERROR(__xludf.DUMMYFUNCTION("""COMPUTED_VALUE"""),7200.0)</f>
        <v>7200</v>
      </c>
      <c r="F41" s="10" t="str">
        <f>IFERROR(__xludf.DUMMYFUNCTION("""COMPUTED_VALUE"""),"2x Bexalite")</f>
        <v>2x Bexalite</v>
      </c>
      <c r="G41" s="10" t="str">
        <f>IFERROR(__xludf.DUMMYFUNCTION("""COMPUTED_VALUE"""),"Bexalite")</f>
        <v>Bexalite</v>
      </c>
    </row>
    <row r="42">
      <c r="A42" s="13">
        <f>IFERROR(__xludf.DUMMYFUNCTION("""COMPUTED_VALUE"""),46147.966624699075)</f>
        <v>46147.96662</v>
      </c>
      <c r="B42" s="10" t="str">
        <f>IFERROR(__xludf.DUMMYFUNCTION("""COMPUTED_VALUE"""),"Dansec")</f>
        <v>Dansec</v>
      </c>
      <c r="C42" s="10" t="str">
        <f>IFERROR(__xludf.DUMMYFUNCTION("""COMPUTED_VALUE"""),"NYX - GLACIEAN BELT  - Belt ")</f>
        <v>NYX - GLACIEAN BELT  - Belt </v>
      </c>
      <c r="D42" s="10" t="str">
        <f>IFERROR(__xludf.DUMMYFUNCTION("""COMPUTED_VALUE"""),"GLAC")</f>
        <v>GLAC</v>
      </c>
      <c r="E42" s="14">
        <f>IFERROR(__xludf.DUMMYFUNCTION("""COMPUTED_VALUE"""),12900.0)</f>
        <v>12900</v>
      </c>
      <c r="F42" s="10" t="str">
        <f>IFERROR(__xludf.DUMMYFUNCTION("""COMPUTED_VALUE"""),"3x Ice")</f>
        <v>3x Ice</v>
      </c>
      <c r="G42" s="10" t="str">
        <f>IFERROR(__xludf.DUMMYFUNCTION("""COMPUTED_VALUE"""),"Ice")</f>
        <v>Ice</v>
      </c>
    </row>
    <row r="43">
      <c r="A43" s="13">
        <f>IFERROR(__xludf.DUMMYFUNCTION("""COMPUTED_VALUE"""),46147.781187858796)</f>
        <v>46147.78119</v>
      </c>
      <c r="B43" s="10" t="str">
        <f>IFERROR(__xludf.DUMMYFUNCTION("""COMPUTED_VALUE"""),"Jenner_Darr")</f>
        <v>Jenner_Darr</v>
      </c>
      <c r="C43" s="10" t="str">
        <f>IFERROR(__xludf.DUMMYFUNCTION("""COMPUTED_VALUE"""),"NYX - KEEGER BELT - Belt ")</f>
        <v>NYX - KEEGER BELT - Belt </v>
      </c>
      <c r="D43" s="10" t="str">
        <f>IFERROR(__xludf.DUMMYFUNCTION("""COMPUTED_VALUE"""),"KEEG")</f>
        <v>KEEG</v>
      </c>
      <c r="E43" s="14">
        <f>IFERROR(__xludf.DUMMYFUNCTION("""COMPUTED_VALUE"""),10200.0)</f>
        <v>10200</v>
      </c>
      <c r="F43" s="10" t="str">
        <f>IFERROR(__xludf.DUMMYFUNCTION("""COMPUTED_VALUE"""),"3x Lindinium")</f>
        <v>3x Lindinium</v>
      </c>
      <c r="G43" s="10" t="str">
        <f>IFERROR(__xludf.DUMMYFUNCTION("""COMPUTED_VALUE"""),"Lindinium")</f>
        <v>Lindinium</v>
      </c>
    </row>
    <row r="44">
      <c r="A44" s="13">
        <f>IFERROR(__xludf.DUMMYFUNCTION("""COMPUTED_VALUE"""),46144.64989425926)</f>
        <v>46144.64989</v>
      </c>
      <c r="B44" s="10" t="str">
        <f>IFERROR(__xludf.DUMMYFUNCTION("""COMPUTED_VALUE"""),"Tankergeebs")</f>
        <v>Tankergeebs</v>
      </c>
      <c r="C44" s="10" t="str">
        <f>IFERROR(__xludf.DUMMYFUNCTION("""COMPUTED_VALUE"""),"PYRO - PYRO 2 - Select Site")</f>
        <v>PYRO - PYRO 2 - Select Site</v>
      </c>
      <c r="D44" s="10" t="str">
        <f>IFERROR(__xludf.DUMMYFUNCTION("""COMPUTED_VALUE"""),"PY1")</f>
        <v>PY1</v>
      </c>
      <c r="E44" s="14">
        <f>IFERROR(__xludf.DUMMYFUNCTION("""COMPUTED_VALUE"""),62000.0)</f>
        <v>62000</v>
      </c>
      <c r="F44" s="10" t="str">
        <f>IFERROR(__xludf.DUMMYFUNCTION("""COMPUTED_VALUE"""),"None")</f>
        <v>None</v>
      </c>
      <c r="G44" s="10" t="str">
        <f>IFERROR(__xludf.DUMMYFUNCTION("""COMPUTED_VALUE"""),"Glacosite")</f>
        <v>Glacosite</v>
      </c>
    </row>
    <row r="45">
      <c r="A45" s="13">
        <f>IFERROR(__xludf.DUMMYFUNCTION("""COMPUTED_VALUE"""),46144.62759333333)</f>
        <v>46144.62759</v>
      </c>
      <c r="B45" s="10" t="str">
        <f>IFERROR(__xludf.DUMMYFUNCTION("""COMPUTED_VALUE"""),"Tankergeebs")</f>
        <v>Tankergeebs</v>
      </c>
      <c r="C45" s="10" t="str">
        <f>IFERROR(__xludf.DUMMYFUNCTION("""COMPUTED_VALUE"""),"PYRO - PYRO 4 - Select Site")</f>
        <v>PYRO - PYRO 4 - Select Site</v>
      </c>
      <c r="D45" s="10" t="str">
        <f>IFERROR(__xludf.DUMMYFUNCTION("""COMPUTED_VALUE"""),"PY1")</f>
        <v>PY1</v>
      </c>
      <c r="E45" s="14">
        <f>IFERROR(__xludf.DUMMYFUNCTION("""COMPUTED_VALUE"""),4000.0)</f>
        <v>4000</v>
      </c>
      <c r="F45" s="10" t="str">
        <f>IFERROR(__xludf.DUMMYFUNCTION("""COMPUTED_VALUE"""),"None")</f>
        <v>None</v>
      </c>
      <c r="G45" s="10" t="str">
        <f>IFERROR(__xludf.DUMMYFUNCTION("""COMPUTED_VALUE"""),"Beradom")</f>
        <v>Beradom</v>
      </c>
    </row>
    <row r="46">
      <c r="A46" s="13">
        <f>IFERROR(__xludf.DUMMYFUNCTION("""COMPUTED_VALUE"""),46143.96972445602)</f>
        <v>46143.96972</v>
      </c>
      <c r="B46" s="10" t="str">
        <f>IFERROR(__xludf.DUMMYFUNCTION("""COMPUTED_VALUE"""),"Dansec")</f>
        <v>Dansec</v>
      </c>
      <c r="C46" s="10" t="str">
        <f>IFERROR(__xludf.DUMMYFUNCTION("""COMPUTED_VALUE"""),"STANTON - CRUSADER - CRU-L1")</f>
        <v>STANTON - CRUSADER - CRU-L1</v>
      </c>
      <c r="D46" s="10" t="str">
        <f>IFERROR(__xludf.DUMMYFUNCTION("""COMPUTED_VALUE"""),"CRU-L1")</f>
        <v>CRU-L1</v>
      </c>
      <c r="E46" s="14">
        <f>IFERROR(__xludf.DUMMYFUNCTION("""COMPUTED_VALUE"""),1700.0)</f>
        <v>1700</v>
      </c>
      <c r="F46" s="10" t="str">
        <f>IFERROR(__xludf.DUMMYFUNCTION("""COMPUTED_VALUE"""),"Unknown")</f>
        <v>Unknown</v>
      </c>
      <c r="G46" s="10" t="str">
        <f>IFERROR(__xludf.DUMMYFUNCTION("""COMPUTED_VALUE"""),"Aluminum")</f>
        <v>Aluminum</v>
      </c>
    </row>
    <row r="47">
      <c r="A47" s="13">
        <f>IFERROR(__xludf.DUMMYFUNCTION("""COMPUTED_VALUE"""),46143.009217928244)</f>
        <v>46143.00922</v>
      </c>
      <c r="B47" s="10" t="str">
        <f>IFERROR(__xludf.DUMMYFUNCTION("""COMPUTED_VALUE"""),"Dansec")</f>
        <v>Dansec</v>
      </c>
      <c r="C47" s="10" t="str">
        <f>IFERROR(__xludf.DUMMYFUNCTION("""COMPUTED_VALUE"""),"STANTON - HURSTON - HUR-L4")</f>
        <v>STANTON - HURSTON - HUR-L4</v>
      </c>
      <c r="D47" s="10" t="str">
        <f>IFERROR(__xludf.DUMMYFUNCTION("""COMPUTED_VALUE"""),"HUR-L4")</f>
        <v>HUR-L4</v>
      </c>
      <c r="E47" s="14">
        <f>IFERROR(__xludf.DUMMYFUNCTION("""COMPUTED_VALUE"""),16720.0)</f>
        <v>16720</v>
      </c>
      <c r="F47" s="10" t="str">
        <f>IFERROR(__xludf.DUMMYFUNCTION("""COMPUTED_VALUE"""),"4x Hephaestanite")</f>
        <v>4x Hephaestanite</v>
      </c>
      <c r="G47" s="10" t="str">
        <f>IFERROR(__xludf.DUMMYFUNCTION("""COMPUTED_VALUE"""),"Hephaestanite")</f>
        <v>Hephaestanite</v>
      </c>
    </row>
    <row r="48">
      <c r="A48" s="13">
        <f>IFERROR(__xludf.DUMMYFUNCTION("""COMPUTED_VALUE"""),46143.007004444444)</f>
        <v>46143.007</v>
      </c>
      <c r="B48" s="10" t="str">
        <f>IFERROR(__xludf.DUMMYFUNCTION("""COMPUTED_VALUE"""),"Dansec")</f>
        <v>Dansec</v>
      </c>
      <c r="C48" s="10" t="str">
        <f>IFERROR(__xludf.DUMMYFUNCTION("""COMPUTED_VALUE"""),"STANTON - HURSTON - HUR-L4")</f>
        <v>STANTON - HURSTON - HUR-L4</v>
      </c>
      <c r="D48" s="10" t="str">
        <f>IFERROR(__xludf.DUMMYFUNCTION("""COMPUTED_VALUE"""),"HUR-L4")</f>
        <v>HUR-L4</v>
      </c>
      <c r="E48" s="14">
        <f>IFERROR(__xludf.DUMMYFUNCTION("""COMPUTED_VALUE"""),20900.0)</f>
        <v>20900</v>
      </c>
      <c r="F48" s="10" t="str">
        <f>IFERROR(__xludf.DUMMYFUNCTION("""COMPUTED_VALUE"""),"5x Hephaestanite")</f>
        <v>5x Hephaestanite</v>
      </c>
      <c r="G48" s="10" t="str">
        <f>IFERROR(__xludf.DUMMYFUNCTION("""COMPUTED_VALUE"""),"Hephaestanite")</f>
        <v>Hephaestanite</v>
      </c>
    </row>
    <row r="49">
      <c r="A49" s="13">
        <f>IFERROR(__xludf.DUMMYFUNCTION("""COMPUTED_VALUE"""),46142.99857907407)</f>
        <v>46142.99858</v>
      </c>
      <c r="B49" s="10" t="str">
        <f>IFERROR(__xludf.DUMMYFUNCTION("""COMPUTED_VALUE"""),"Dansec")</f>
        <v>Dansec</v>
      </c>
      <c r="C49" s="10" t="str">
        <f>IFERROR(__xludf.DUMMYFUNCTION("""COMPUTED_VALUE"""),"STANTON - HURSTON - HUR-L4")</f>
        <v>STANTON - HURSTON - HUR-L4</v>
      </c>
      <c r="D49" s="10" t="str">
        <f>IFERROR(__xludf.DUMMYFUNCTION("""COMPUTED_VALUE"""),"HUR-L4")</f>
        <v>HUR-L4</v>
      </c>
      <c r="E49" s="14">
        <f>IFERROR(__xludf.DUMMYFUNCTION("""COMPUTED_VALUE"""),17140.0)</f>
        <v>17140</v>
      </c>
      <c r="F49" s="10" t="str">
        <f>IFERROR(__xludf.DUMMYFUNCTION("""COMPUTED_VALUE"""),"4x Aluminum")</f>
        <v>4x Aluminum</v>
      </c>
      <c r="G49" s="10" t="str">
        <f>IFERROR(__xludf.DUMMYFUNCTION("""COMPUTED_VALUE"""),"Aluminum")</f>
        <v>Aluminum</v>
      </c>
    </row>
    <row r="50">
      <c r="A50" s="13">
        <f>IFERROR(__xludf.DUMMYFUNCTION("""COMPUTED_VALUE"""),46142.992673506946)</f>
        <v>46142.99267</v>
      </c>
      <c r="B50" s="10" t="str">
        <f>IFERROR(__xludf.DUMMYFUNCTION("""COMPUTED_VALUE"""),"Dansec")</f>
        <v>Dansec</v>
      </c>
      <c r="C50" s="10" t="str">
        <f>IFERROR(__xludf.DUMMYFUNCTION("""COMPUTED_VALUE"""),"STANTON - HURSTON - HUR-L4")</f>
        <v>STANTON - HURSTON - HUR-L4</v>
      </c>
      <c r="D50" s="10" t="str">
        <f>IFERROR(__xludf.DUMMYFUNCTION("""COMPUTED_VALUE"""),"HUR-L4")</f>
        <v>HUR-L4</v>
      </c>
      <c r="E50" s="14">
        <f>IFERROR(__xludf.DUMMYFUNCTION("""COMPUTED_VALUE"""),11475.0)</f>
        <v>11475</v>
      </c>
      <c r="F50" s="10" t="str">
        <f>IFERROR(__xludf.DUMMYFUNCTION("""COMPUTED_VALUE"""),"3x Laranite")</f>
        <v>3x Laranite</v>
      </c>
      <c r="G50" s="10" t="str">
        <f>IFERROR(__xludf.DUMMYFUNCTION("""COMPUTED_VALUE"""),"Laranite")</f>
        <v>Laranite</v>
      </c>
    </row>
    <row r="51">
      <c r="A51" s="13">
        <f>IFERROR(__xludf.DUMMYFUNCTION("""COMPUTED_VALUE"""),46142.982628969905)</f>
        <v>46142.98263</v>
      </c>
      <c r="B51" s="10" t="str">
        <f>IFERROR(__xludf.DUMMYFUNCTION("""COMPUTED_VALUE"""),"Dansec")</f>
        <v>Dansec</v>
      </c>
      <c r="C51" s="10" t="str">
        <f>IFERROR(__xludf.DUMMYFUNCTION("""COMPUTED_VALUE"""),"STANTON - HURSTON - HUR-L4")</f>
        <v>STANTON - HURSTON - HUR-L4</v>
      </c>
      <c r="D51" s="10" t="str">
        <f>IFERROR(__xludf.DUMMYFUNCTION("""COMPUTED_VALUE"""),"HUR-L4")</f>
        <v>HUR-L4</v>
      </c>
      <c r="E51" s="14">
        <f>IFERROR(__xludf.DUMMYFUNCTION("""COMPUTED_VALUE"""),16720.0)</f>
        <v>16720</v>
      </c>
      <c r="F51" s="10" t="str">
        <f>IFERROR(__xludf.DUMMYFUNCTION("""COMPUTED_VALUE"""),"4x Hephaestanite")</f>
        <v>4x Hephaestanite</v>
      </c>
      <c r="G51" s="10" t="str">
        <f>IFERROR(__xludf.DUMMYFUNCTION("""COMPUTED_VALUE"""),"Hephaestanite")</f>
        <v>Hephaestanite</v>
      </c>
    </row>
    <row r="52">
      <c r="A52" s="13">
        <f>IFERROR(__xludf.DUMMYFUNCTION("""COMPUTED_VALUE"""),46141.83533505786)</f>
        <v>46141.83534</v>
      </c>
      <c r="B52" s="10" t="str">
        <f>IFERROR(__xludf.DUMMYFUNCTION("""COMPUTED_VALUE"""),"Dansec")</f>
        <v>Dansec</v>
      </c>
      <c r="C52" s="10" t="str">
        <f>IFERROR(__xludf.DUMMYFUNCTION("""COMPUTED_VALUE"""),"STANTON - AARON HALO - Belt")</f>
        <v>STANTON - AARON HALO - Belt</v>
      </c>
      <c r="D52" s="10" t="str">
        <f>IFERROR(__xludf.DUMMYFUNCTION("""COMPUTED_VALUE"""),"AARON_HALO")</f>
        <v>AARON_HALO</v>
      </c>
      <c r="E52" s="14">
        <f>IFERROR(__xludf.DUMMYFUNCTION("""COMPUTED_VALUE"""),3170.0)</f>
        <v>3170</v>
      </c>
      <c r="F52" s="10" t="str">
        <f>IFERROR(__xludf.DUMMYFUNCTION("""COMPUTED_VALUE"""),"1x Quantainium")</f>
        <v>1x Quantainium</v>
      </c>
      <c r="G52" s="10" t="str">
        <f>IFERROR(__xludf.DUMMYFUNCTION("""COMPUTED_VALUE"""),"Quantanium")</f>
        <v>Quantanium</v>
      </c>
    </row>
    <row r="53">
      <c r="A53" s="13">
        <f>IFERROR(__xludf.DUMMYFUNCTION("""COMPUTED_VALUE"""),46140.20172380788)</f>
        <v>46140.20172</v>
      </c>
      <c r="B53" s="10" t="str">
        <f>IFERROR(__xludf.DUMMYFUNCTION("""COMPUTED_VALUE"""),"Tankergeebs")</f>
        <v>Tankergeebs</v>
      </c>
      <c r="C53" s="10" t="str">
        <f>IFERROR(__xludf.DUMMYFUNCTION("""COMPUTED_VALUE"""),"STANTON - AARON HALO - Belt")</f>
        <v>STANTON - AARON HALO - Belt</v>
      </c>
      <c r="D53" s="10" t="str">
        <f>IFERROR(__xludf.DUMMYFUNCTION("""COMPUTED_VALUE"""),"AARON_HALO")</f>
        <v>AARON_HALO</v>
      </c>
      <c r="E53" s="14">
        <f>IFERROR(__xludf.DUMMYFUNCTION("""COMPUTED_VALUE"""),8000.0)</f>
        <v>8000</v>
      </c>
      <c r="F53" s="10" t="str">
        <f>IFERROR(__xludf.DUMMYFUNCTION("""COMPUTED_VALUE"""),"None")</f>
        <v>None</v>
      </c>
      <c r="G53" s="10" t="str">
        <f>IFERROR(__xludf.DUMMYFUNCTION("""COMPUTED_VALUE"""),"Recy. Material Composite")</f>
        <v>Recy. Material Composite</v>
      </c>
    </row>
    <row r="54">
      <c r="A54" s="13">
        <f>IFERROR(__xludf.DUMMYFUNCTION("""COMPUTED_VALUE"""),46140.196849976855)</f>
        <v>46140.19685</v>
      </c>
      <c r="B54" s="10" t="str">
        <f>IFERROR(__xludf.DUMMYFUNCTION("""COMPUTED_VALUE"""),"Tankergeebs")</f>
        <v>Tankergeebs</v>
      </c>
      <c r="C54" s="10" t="str">
        <f>IFERROR(__xludf.DUMMYFUNCTION("""COMPUTED_VALUE"""),"STANTON - AARON HALO - Belt")</f>
        <v>STANTON - AARON HALO - Belt</v>
      </c>
      <c r="D54" s="10" t="str">
        <f>IFERROR(__xludf.DUMMYFUNCTION("""COMPUTED_VALUE"""),"AARON_HALO")</f>
        <v>AARON_HALO</v>
      </c>
      <c r="E54" s="14">
        <f>IFERROR(__xludf.DUMMYFUNCTION("""COMPUTED_VALUE"""),3170.0)</f>
        <v>3170</v>
      </c>
      <c r="F54" s="10" t="str">
        <f>IFERROR(__xludf.DUMMYFUNCTION("""COMPUTED_VALUE"""),"None")</f>
        <v>None</v>
      </c>
      <c r="G54" s="10" t="str">
        <f>IFERROR(__xludf.DUMMYFUNCTION("""COMPUTED_VALUE"""),"Quantanium")</f>
        <v>Quantanium</v>
      </c>
    </row>
    <row r="55">
      <c r="A55" s="13">
        <f>IFERROR(__xludf.DUMMYFUNCTION("""COMPUTED_VALUE"""),46140.18012696759)</f>
        <v>46140.18013</v>
      </c>
      <c r="B55" s="10" t="str">
        <f>IFERROR(__xludf.DUMMYFUNCTION("""COMPUTED_VALUE"""),"Tankergeebs")</f>
        <v>Tankergeebs</v>
      </c>
      <c r="C55" s="10" t="str">
        <f>IFERROR(__xludf.DUMMYFUNCTION("""COMPUTED_VALUE"""),"STANTON - AARON HALO - Belt")</f>
        <v>STANTON - AARON HALO - Belt</v>
      </c>
      <c r="D55" s="10" t="str">
        <f>IFERROR(__xludf.DUMMYFUNCTION("""COMPUTED_VALUE"""),"AARON_HALO")</f>
        <v>AARON_HALO</v>
      </c>
      <c r="E55" s="14">
        <f>IFERROR(__xludf.DUMMYFUNCTION("""COMPUTED_VALUE"""),11520.0)</f>
        <v>11520</v>
      </c>
      <c r="F55" s="10" t="str">
        <f>IFERROR(__xludf.DUMMYFUNCTION("""COMPUTED_VALUE"""),"None")</f>
        <v>None</v>
      </c>
      <c r="G55" s="10" t="str">
        <f>IFERROR(__xludf.DUMMYFUNCTION("""COMPUTED_VALUE"""),"Aslarite")</f>
        <v>Aslarite</v>
      </c>
    </row>
    <row r="56">
      <c r="A56" s="13">
        <f>IFERROR(__xludf.DUMMYFUNCTION("""COMPUTED_VALUE"""),46139.975062233796)</f>
        <v>46139.97506</v>
      </c>
      <c r="B56" s="10" t="str">
        <f>IFERROR(__xludf.DUMMYFUNCTION("""COMPUTED_VALUE"""),"Jenner_Darr")</f>
        <v>Jenner_Darr</v>
      </c>
      <c r="C56" s="10" t="str">
        <f>IFERROR(__xludf.DUMMYFUNCTION("""COMPUTED_VALUE"""),"STANTON - ARCCORP - Wala")</f>
        <v>STANTON - ARCCORP - Wala</v>
      </c>
      <c r="D56" s="10" t="str">
        <f>IFERROR(__xludf.DUMMYFUNCTION("""COMPUTED_VALUE"""),"WAL")</f>
        <v>WAL</v>
      </c>
      <c r="E56" s="14">
        <f>IFERROR(__xludf.DUMMYFUNCTION("""COMPUTED_VALUE"""),11475.0)</f>
        <v>11475</v>
      </c>
      <c r="F56" s="10" t="str">
        <f>IFERROR(__xludf.DUMMYFUNCTION("""COMPUTED_VALUE"""),"3x Laranite")</f>
        <v>3x Laranite</v>
      </c>
      <c r="G56" s="10" t="str">
        <f>IFERROR(__xludf.DUMMYFUNCTION("""COMPUTED_VALUE"""),"Laranite")</f>
        <v>Laranite</v>
      </c>
    </row>
    <row r="57">
      <c r="A57" s="13">
        <f>IFERROR(__xludf.DUMMYFUNCTION("""COMPUTED_VALUE"""),46139.973190879624)</f>
        <v>46139.97319</v>
      </c>
      <c r="B57" s="10" t="str">
        <f>IFERROR(__xludf.DUMMYFUNCTION("""COMPUTED_VALUE"""),"Jenner_Darr")</f>
        <v>Jenner_Darr</v>
      </c>
      <c r="C57" s="10" t="str">
        <f>IFERROR(__xludf.DUMMYFUNCTION("""COMPUTED_VALUE"""),"STANTON - ARCCORP - Wala")</f>
        <v>STANTON - ARCCORP - Wala</v>
      </c>
      <c r="D57" s="10" t="str">
        <f>IFERROR(__xludf.DUMMYFUNCTION("""COMPUTED_VALUE"""),"WAL")</f>
        <v>WAL</v>
      </c>
      <c r="E57" s="14">
        <f>IFERROR(__xludf.DUMMYFUNCTION("""COMPUTED_VALUE"""),57000.0)</f>
        <v>57000</v>
      </c>
      <c r="F57" s="10" t="str">
        <f>IFERROR(__xludf.DUMMYFUNCTION("""COMPUTED_VALUE"""),"19x Saldynium | 12x Tungsten")</f>
        <v>19x Saldynium | 12x Tungsten</v>
      </c>
      <c r="G57" s="10" t="str">
        <f>IFERROR(__xludf.DUMMYFUNCTION("""COMPUTED_VALUE"""),"Aphorite")</f>
        <v>Aphorite</v>
      </c>
    </row>
    <row r="58">
      <c r="A58" s="13">
        <f>IFERROR(__xludf.DUMMYFUNCTION("""COMPUTED_VALUE"""),46139.97272331019)</f>
        <v>46139.97272</v>
      </c>
      <c r="B58" s="10" t="str">
        <f>IFERROR(__xludf.DUMMYFUNCTION("""COMPUTED_VALUE"""),"Jenner_Darr")</f>
        <v>Jenner_Darr</v>
      </c>
      <c r="C58" s="10" t="str">
        <f>IFERROR(__xludf.DUMMYFUNCTION("""COMPUTED_VALUE"""),"STANTON - ARCCORP - Wala")</f>
        <v>STANTON - ARCCORP - Wala</v>
      </c>
      <c r="D58" s="10" t="str">
        <f>IFERROR(__xludf.DUMMYFUNCTION("""COMPUTED_VALUE"""),"WAL")</f>
        <v>WAL</v>
      </c>
      <c r="E58" s="14">
        <f>IFERROR(__xludf.DUMMYFUNCTION("""COMPUTED_VALUE"""),17080.0)</f>
        <v>17080</v>
      </c>
      <c r="F58" s="10" t="str">
        <f>IFERROR(__xludf.DUMMYFUNCTION("""COMPUTED_VALUE"""),"4x Iron")</f>
        <v>4x Iron</v>
      </c>
      <c r="G58" s="10" t="str">
        <f>IFERROR(__xludf.DUMMYFUNCTION("""COMPUTED_VALUE"""),"Iron")</f>
        <v>Iron</v>
      </c>
    </row>
    <row r="59">
      <c r="A59" s="13">
        <f>IFERROR(__xludf.DUMMYFUNCTION("""COMPUTED_VALUE"""),46139.97092434028)</f>
        <v>46139.97092</v>
      </c>
      <c r="B59" s="10" t="str">
        <f>IFERROR(__xludf.DUMMYFUNCTION("""COMPUTED_VALUE"""),"Jenner_Darr")</f>
        <v>Jenner_Darr</v>
      </c>
      <c r="C59" s="10" t="str">
        <f>IFERROR(__xludf.DUMMYFUNCTION("""COMPUTED_VALUE"""),"STANTON - ARCCORP - Wala")</f>
        <v>STANTON - ARCCORP - Wala</v>
      </c>
      <c r="D59" s="10" t="str">
        <f>IFERROR(__xludf.DUMMYFUNCTION("""COMPUTED_VALUE"""),"WAL")</f>
        <v>WAL</v>
      </c>
      <c r="E59" s="14">
        <f>IFERROR(__xludf.DUMMYFUNCTION("""COMPUTED_VALUE"""),84000.0)</f>
        <v>84000</v>
      </c>
      <c r="F59" s="10" t="str">
        <f>IFERROR(__xludf.DUMMYFUNCTION("""COMPUTED_VALUE"""),"42x Debris | 28x Saldynium | 21x Glacosite")</f>
        <v>42x Debris | 28x Saldynium | 21x Glacosite</v>
      </c>
      <c r="G59" s="10" t="str">
        <f>IFERROR(__xludf.DUMMYFUNCTION("""COMPUTED_VALUE"""),"Beradom")</f>
        <v>Beradom</v>
      </c>
    </row>
    <row r="60">
      <c r="A60" s="13">
        <f>IFERROR(__xludf.DUMMYFUNCTION("""COMPUTED_VALUE"""),46139.96966552084)</f>
        <v>46139.96967</v>
      </c>
      <c r="B60" s="10" t="str">
        <f>IFERROR(__xludf.DUMMYFUNCTION("""COMPUTED_VALUE"""),"Jenner_Darr")</f>
        <v>Jenner_Darr</v>
      </c>
      <c r="C60" s="10" t="str">
        <f>IFERROR(__xludf.DUMMYFUNCTION("""COMPUTED_VALUE"""),"STANTON - ARCCORP - Wala")</f>
        <v>STANTON - ARCCORP - Wala</v>
      </c>
      <c r="D60" s="10" t="str">
        <f>IFERROR(__xludf.DUMMYFUNCTION("""COMPUTED_VALUE"""),"WAL")</f>
        <v>WAL</v>
      </c>
      <c r="E60" s="14">
        <f>IFERROR(__xludf.DUMMYFUNCTION("""COMPUTED_VALUE"""),7080.0)</f>
        <v>7080</v>
      </c>
      <c r="F60" s="10" t="str">
        <f>IFERROR(__xludf.DUMMYFUNCTION("""COMPUTED_VALUE"""),"2x Beryl")</f>
        <v>2x Beryl</v>
      </c>
      <c r="G60" s="10" t="str">
        <f>IFERROR(__xludf.DUMMYFUNCTION("""COMPUTED_VALUE"""),"Beryl")</f>
        <v>Beryl</v>
      </c>
    </row>
    <row r="61">
      <c r="A61" s="13">
        <f>IFERROR(__xludf.DUMMYFUNCTION("""COMPUTED_VALUE"""),46139.96920813657)</f>
        <v>46139.96921</v>
      </c>
      <c r="B61" s="10" t="str">
        <f>IFERROR(__xludf.DUMMYFUNCTION("""COMPUTED_VALUE"""),"Jenner_Darr")</f>
        <v>Jenner_Darr</v>
      </c>
      <c r="C61" s="10" t="str">
        <f>IFERROR(__xludf.DUMMYFUNCTION("""COMPUTED_VALUE"""),"STANTON - ARCCORP - Wala")</f>
        <v>STANTON - ARCCORP - Wala</v>
      </c>
      <c r="D61" s="10" t="str">
        <f>IFERROR(__xludf.DUMMYFUNCTION("""COMPUTED_VALUE"""),"WAL")</f>
        <v>WAL</v>
      </c>
      <c r="E61" s="14">
        <f>IFERROR(__xludf.DUMMYFUNCTION("""COMPUTED_VALUE"""),45000.0)</f>
        <v>45000</v>
      </c>
      <c r="F61" s="10" t="str">
        <f>IFERROR(__xludf.DUMMYFUNCTION("""COMPUTED_VALUE"""),"15x Saldynium")</f>
        <v>15x Saldynium</v>
      </c>
      <c r="G61" s="10" t="str">
        <f>IFERROR(__xludf.DUMMYFUNCTION("""COMPUTED_VALUE"""),"Dolivine")</f>
        <v>Dolivine</v>
      </c>
    </row>
    <row r="62">
      <c r="A62" s="13">
        <f>IFERROR(__xludf.DUMMYFUNCTION("""COMPUTED_VALUE"""),46139.967635497684)</f>
        <v>46139.96764</v>
      </c>
      <c r="B62" s="10" t="str">
        <f>IFERROR(__xludf.DUMMYFUNCTION("""COMPUTED_VALUE"""),"Jenner_Darr")</f>
        <v>Jenner_Darr</v>
      </c>
      <c r="C62" s="10" t="str">
        <f>IFERROR(__xludf.DUMMYFUNCTION("""COMPUTED_VALUE"""),"STANTON - ARCCORP - Wala")</f>
        <v>STANTON - ARCCORP - Wala</v>
      </c>
      <c r="D62" s="10" t="str">
        <f>IFERROR(__xludf.DUMMYFUNCTION("""COMPUTED_VALUE"""),"WAL")</f>
        <v>WAL</v>
      </c>
      <c r="E62" s="14">
        <f>IFERROR(__xludf.DUMMYFUNCTION("""COMPUTED_VALUE"""),3170.0)</f>
        <v>3170</v>
      </c>
      <c r="F62" s="10" t="str">
        <f>IFERROR(__xludf.DUMMYFUNCTION("""COMPUTED_VALUE"""),"1x Quantainium")</f>
        <v>1x Quantainium</v>
      </c>
      <c r="G62" s="10" t="str">
        <f>IFERROR(__xludf.DUMMYFUNCTION("""COMPUTED_VALUE"""),"Quantanium")</f>
        <v>Quantanium</v>
      </c>
    </row>
    <row r="63">
      <c r="A63" s="13">
        <f>IFERROR(__xludf.DUMMYFUNCTION("""COMPUTED_VALUE"""),46139.9516040625)</f>
        <v>46139.9516</v>
      </c>
      <c r="B63" s="10" t="str">
        <f>IFERROR(__xludf.DUMMYFUNCTION("""COMPUTED_VALUE"""),"Jenner_Darr")</f>
        <v>Jenner_Darr</v>
      </c>
      <c r="C63" s="10" t="str">
        <f>IFERROR(__xludf.DUMMYFUNCTION("""COMPUTED_VALUE"""),"STANTON - ARCCORP - Wala")</f>
        <v>STANTON - ARCCORP - Wala</v>
      </c>
      <c r="D63" s="10" t="str">
        <f>IFERROR(__xludf.DUMMYFUNCTION("""COMPUTED_VALUE"""),"WAL")</f>
        <v>WAL</v>
      </c>
      <c r="E63" s="14">
        <f>IFERROR(__xludf.DUMMYFUNCTION("""COMPUTED_VALUE"""),60000.0)</f>
        <v>60000</v>
      </c>
      <c r="F63" s="10" t="str">
        <f>IFERROR(__xludf.DUMMYFUNCTION("""COMPUTED_VALUE"""),"30x Debris | 20x Saldynium | 15x Glacosite")</f>
        <v>30x Debris | 20x Saldynium | 15x Glacosite</v>
      </c>
      <c r="G63" s="10" t="str">
        <f>IFERROR(__xludf.DUMMYFUNCTION("""COMPUTED_VALUE"""),"Aphorite")</f>
        <v>Aphorite</v>
      </c>
    </row>
    <row r="64">
      <c r="A64" s="13">
        <f>IFERROR(__xludf.DUMMYFUNCTION("""COMPUTED_VALUE"""),46139.93264050926)</f>
        <v>46139.93264</v>
      </c>
      <c r="B64" s="10" t="str">
        <f>IFERROR(__xludf.DUMMYFUNCTION("""COMPUTED_VALUE"""),"Dansec")</f>
        <v>Dansec</v>
      </c>
      <c r="C64" s="10" t="str">
        <f>IFERROR(__xludf.DUMMYFUNCTION("""COMPUTED_VALUE"""),"STANTON - CRUSADER - Daymar")</f>
        <v>STANTON - CRUSADER - Daymar</v>
      </c>
      <c r="D64" s="10" t="str">
        <f>IFERROR(__xludf.DUMMYFUNCTION("""COMPUTED_VALUE"""),"DAY")</f>
        <v>DAY</v>
      </c>
      <c r="E64" s="14">
        <f>IFERROR(__xludf.DUMMYFUNCTION("""COMPUTED_VALUE"""),7080.0)</f>
        <v>7080</v>
      </c>
      <c r="F64" s="10" t="str">
        <f>IFERROR(__xludf.DUMMYFUNCTION("""COMPUTED_VALUE"""),"2x Beryl")</f>
        <v>2x Beryl</v>
      </c>
      <c r="G64" s="10" t="str">
        <f>IFERROR(__xludf.DUMMYFUNCTION("""COMPUTED_VALUE"""),"Beryl")</f>
        <v>Beryl</v>
      </c>
    </row>
    <row r="65">
      <c r="A65" s="13">
        <f>IFERROR(__xludf.DUMMYFUNCTION("""COMPUTED_VALUE"""),46139.931504918975)</f>
        <v>46139.9315</v>
      </c>
      <c r="B65" s="10" t="str">
        <f>IFERROR(__xludf.DUMMYFUNCTION("""COMPUTED_VALUE"""),"Dansec")</f>
        <v>Dansec</v>
      </c>
      <c r="C65" s="10" t="str">
        <f>IFERROR(__xludf.DUMMYFUNCTION("""COMPUTED_VALUE"""),"STANTON - CRUSADER - Daymar")</f>
        <v>STANTON - CRUSADER - Daymar</v>
      </c>
      <c r="D65" s="10" t="str">
        <f>IFERROR(__xludf.DUMMYFUNCTION("""COMPUTED_VALUE"""),"DAY")</f>
        <v>DAY</v>
      </c>
      <c r="E65" s="14">
        <f>IFERROR(__xludf.DUMMYFUNCTION("""COMPUTED_VALUE"""),21425.0)</f>
        <v>21425</v>
      </c>
      <c r="F65" s="10" t="str">
        <f>IFERROR(__xludf.DUMMYFUNCTION("""COMPUTED_VALUE"""),"5x Aluminum")</f>
        <v>5x Aluminum</v>
      </c>
      <c r="G65" s="10" t="str">
        <f>IFERROR(__xludf.DUMMYFUNCTION("""COMPUTED_VALUE"""),"Aluminum")</f>
        <v>Aluminum</v>
      </c>
    </row>
    <row r="66">
      <c r="A66" s="13">
        <f>IFERROR(__xludf.DUMMYFUNCTION("""COMPUTED_VALUE"""),46139.9154678125)</f>
        <v>46139.91547</v>
      </c>
      <c r="B66" s="10" t="str">
        <f>IFERROR(__xludf.DUMMYFUNCTION("""COMPUTED_VALUE"""),"Dansec")</f>
        <v>Dansec</v>
      </c>
      <c r="C66" s="10" t="str">
        <f>IFERROR(__xludf.DUMMYFUNCTION("""COMPUTED_VALUE"""),"STANTON - CRUSADER - Daymar")</f>
        <v>STANTON - CRUSADER - Daymar</v>
      </c>
      <c r="D66" s="10" t="str">
        <f>IFERROR(__xludf.DUMMYFUNCTION("""COMPUTED_VALUE"""),"DAY")</f>
        <v>DAY</v>
      </c>
      <c r="E66" s="14">
        <f>IFERROR(__xludf.DUMMYFUNCTION("""COMPUTED_VALUE"""),19275.0)</f>
        <v>19275</v>
      </c>
      <c r="F66" s="10" t="str">
        <f>IFERROR(__xludf.DUMMYFUNCTION("""COMPUTED_VALUE"""),"5x Titanium")</f>
        <v>5x Titanium</v>
      </c>
      <c r="G66" s="10" t="str">
        <f>IFERROR(__xludf.DUMMYFUNCTION("""COMPUTED_VALUE"""),"Titanium")</f>
        <v>Titanium</v>
      </c>
    </row>
    <row r="67">
      <c r="A67" s="13">
        <f>IFERROR(__xludf.DUMMYFUNCTION("""COMPUTED_VALUE"""),46139.777691446754)</f>
        <v>46139.77769</v>
      </c>
      <c r="B67" s="10" t="str">
        <f>IFERROR(__xludf.DUMMYFUNCTION("""COMPUTED_VALUE"""),"Jenner_Darr")</f>
        <v>Jenner_Darr</v>
      </c>
      <c r="C67" s="10" t="str">
        <f>IFERROR(__xludf.DUMMYFUNCTION("""COMPUTED_VALUE"""),"STANTON - CRUSADER - Cellin")</f>
        <v>STANTON - CRUSADER - Cellin</v>
      </c>
      <c r="D67" s="10" t="str">
        <f>IFERROR(__xludf.DUMMYFUNCTION("""COMPUTED_VALUE"""),"CEL")</f>
        <v>CEL</v>
      </c>
      <c r="E67" s="14">
        <f>IFERROR(__xludf.DUMMYFUNCTION("""COMPUTED_VALUE"""),48000.0)</f>
        <v>48000</v>
      </c>
      <c r="F67" s="10" t="str">
        <f>IFERROR(__xludf.DUMMYFUNCTION("""COMPUTED_VALUE"""),"24x Debris | 16x Saldynium | 15x Savrilium | 12x Glacosite")</f>
        <v>24x Debris | 16x Saldynium | 15x Savrilium | 12x Glacosite</v>
      </c>
      <c r="G67" s="10" t="str">
        <f>IFERROR(__xludf.DUMMYFUNCTION("""COMPUTED_VALUE"""),"Dolivine")</f>
        <v>Dolivine</v>
      </c>
    </row>
    <row r="68">
      <c r="A68" s="13">
        <f>IFERROR(__xludf.DUMMYFUNCTION("""COMPUTED_VALUE"""),46138.89705869213)</f>
        <v>46138.89706</v>
      </c>
      <c r="B68" s="10" t="str">
        <f>IFERROR(__xludf.DUMMYFUNCTION("""COMPUTED_VALUE"""),"Troublemakerinc")</f>
        <v>Troublemakerinc</v>
      </c>
      <c r="C68" s="10" t="str">
        <f>IFERROR(__xludf.DUMMYFUNCTION("""COMPUTED_VALUE"""),"STANTON - ARCCORP - Arc-L5")</f>
        <v>STANTON - ARCCORP - Arc-L5</v>
      </c>
      <c r="D68" s="10" t="str">
        <f>IFERROR(__xludf.DUMMYFUNCTION("""COMPUTED_VALUE"""),"ARC-L5")</f>
        <v>ARC-L5</v>
      </c>
      <c r="E68" s="14">
        <f>IFERROR(__xludf.DUMMYFUNCTION("""COMPUTED_VALUE"""),7170.0)</f>
        <v>7170</v>
      </c>
      <c r="F68" s="10" t="str">
        <f>IFERROR(__xludf.DUMMYFUNCTION("""COMPUTED_VALUE"""),"2x Gold")</f>
        <v>2x Gold</v>
      </c>
      <c r="G68" s="10" t="str">
        <f>IFERROR(__xludf.DUMMYFUNCTION("""COMPUTED_VALUE"""),"Gold")</f>
        <v>Gold</v>
      </c>
    </row>
    <row r="69">
      <c r="A69" s="13">
        <f>IFERROR(__xludf.DUMMYFUNCTION("""COMPUTED_VALUE"""),46138.89622197917)</f>
        <v>46138.89622</v>
      </c>
      <c r="B69" s="10" t="str">
        <f>IFERROR(__xludf.DUMMYFUNCTION("""COMPUTED_VALUE"""),"Troublemakerinc")</f>
        <v>Troublemakerinc</v>
      </c>
      <c r="C69" s="10" t="str">
        <f>IFERROR(__xludf.DUMMYFUNCTION("""COMPUTED_VALUE"""),"STANTON - ARCCORP - Arc-L5")</f>
        <v>STANTON - ARCCORP - Arc-L5</v>
      </c>
      <c r="D69" s="10" t="str">
        <f>IFERROR(__xludf.DUMMYFUNCTION("""COMPUTED_VALUE"""),"ARC-L5")</f>
        <v>ARC-L5</v>
      </c>
      <c r="E69" s="14">
        <f>IFERROR(__xludf.DUMMYFUNCTION("""COMPUTED_VALUE"""),19200.0)</f>
        <v>19200</v>
      </c>
      <c r="F69" s="10" t="str">
        <f>IFERROR(__xludf.DUMMYFUNCTION("""COMPUTED_VALUE"""),"6x Savrilium | 5x Aslarite")</f>
        <v>6x Savrilium | 5x Aslarite</v>
      </c>
      <c r="G69" s="10" t="str">
        <f>IFERROR(__xludf.DUMMYFUNCTION("""COMPUTED_VALUE"""),"Aslarite")</f>
        <v>Aslarite</v>
      </c>
    </row>
    <row r="70">
      <c r="A70" s="13">
        <f>IFERROR(__xludf.DUMMYFUNCTION("""COMPUTED_VALUE"""),46138.83888130787)</f>
        <v>46138.83888</v>
      </c>
      <c r="B70" s="10" t="str">
        <f>IFERROR(__xludf.DUMMYFUNCTION("""COMPUTED_VALUE"""),"Troublemakerinc")</f>
        <v>Troublemakerinc</v>
      </c>
      <c r="C70" s="10" t="str">
        <f>IFERROR(__xludf.DUMMYFUNCTION("""COMPUTED_VALUE"""),"STANTON - CRUSADER - CRU-L4")</f>
        <v>STANTON - CRUSADER - CRU-L4</v>
      </c>
      <c r="D70" s="10" t="str">
        <f>IFERROR(__xludf.DUMMYFUNCTION("""COMPUTED_VALUE"""),"CRU-L4")</f>
        <v>CRU-L4</v>
      </c>
      <c r="E70" s="14">
        <f>IFERROR(__xludf.DUMMYFUNCTION("""COMPUTED_VALUE"""),10755.0)</f>
        <v>10755</v>
      </c>
      <c r="F70" s="10" t="str">
        <f>IFERROR(__xludf.DUMMYFUNCTION("""COMPUTED_VALUE"""),"3x Gold")</f>
        <v>3x Gold</v>
      </c>
      <c r="G70" s="10" t="str">
        <f>IFERROR(__xludf.DUMMYFUNCTION("""COMPUTED_VALUE"""),"Gold")</f>
        <v>Gold</v>
      </c>
    </row>
    <row r="71">
      <c r="A71" s="13">
        <f>IFERROR(__xludf.DUMMYFUNCTION("""COMPUTED_VALUE"""),46138.83813488425)</f>
        <v>46138.83813</v>
      </c>
      <c r="B71" s="10" t="str">
        <f>IFERROR(__xludf.DUMMYFUNCTION("""COMPUTED_VALUE"""),"Troublemakerinc")</f>
        <v>Troublemakerinc</v>
      </c>
      <c r="C71" s="10" t="str">
        <f>IFERROR(__xludf.DUMMYFUNCTION("""COMPUTED_VALUE"""),"STANTON - CRUSADER - CRU-L4")</f>
        <v>STANTON - CRUSADER - CRU-L4</v>
      </c>
      <c r="D71" s="10" t="str">
        <f>IFERROR(__xludf.DUMMYFUNCTION("""COMPUTED_VALUE"""),"CRU-L4")</f>
        <v>CRU-L4</v>
      </c>
      <c r="E71" s="14">
        <f>IFERROR(__xludf.DUMMYFUNCTION("""COMPUTED_VALUE"""),11520.0)</f>
        <v>11520</v>
      </c>
      <c r="F71" s="10" t="str">
        <f>IFERROR(__xludf.DUMMYFUNCTION("""COMPUTED_VALUE"""),"None")</f>
        <v>None</v>
      </c>
      <c r="G71" s="10" t="str">
        <f>IFERROR(__xludf.DUMMYFUNCTION("""COMPUTED_VALUE"""),"Aslarite")</f>
        <v>Aslarite</v>
      </c>
    </row>
    <row r="72">
      <c r="A72" s="13">
        <f>IFERROR(__xludf.DUMMYFUNCTION("""COMPUTED_VALUE"""),46138.8115387963)</f>
        <v>46138.81154</v>
      </c>
      <c r="B72" s="10" t="str">
        <f>IFERROR(__xludf.DUMMYFUNCTION("""COMPUTED_VALUE"""),"Troublemakerinc")</f>
        <v>Troublemakerinc</v>
      </c>
      <c r="C72" s="10" t="str">
        <f>IFERROR(__xludf.DUMMYFUNCTION("""COMPUTED_VALUE"""),"STANTON - MICROTECH - Euterpe")</f>
        <v>STANTON - MICROTECH - Euterpe</v>
      </c>
      <c r="D72" s="10" t="str">
        <f>IFERROR(__xludf.DUMMYFUNCTION("""COMPUTED_VALUE"""),"EUT")</f>
        <v>EUT</v>
      </c>
      <c r="E72" s="14">
        <f>IFERROR(__xludf.DUMMYFUNCTION("""COMPUTED_VALUE"""),3170.0)</f>
        <v>3170</v>
      </c>
      <c r="F72" s="10" t="str">
        <f>IFERROR(__xludf.DUMMYFUNCTION("""COMPUTED_VALUE"""),"None")</f>
        <v>None</v>
      </c>
      <c r="G72" s="10" t="str">
        <f>IFERROR(__xludf.DUMMYFUNCTION("""COMPUTED_VALUE"""),"Quantanium")</f>
        <v>Quantanium</v>
      </c>
    </row>
    <row r="73">
      <c r="A73" s="13">
        <f>IFERROR(__xludf.DUMMYFUNCTION("""COMPUTED_VALUE"""),46138.81102277778)</f>
        <v>46138.81102</v>
      </c>
      <c r="B73" s="10" t="str">
        <f>IFERROR(__xludf.DUMMYFUNCTION("""COMPUTED_VALUE"""),"Tankergeebs")</f>
        <v>Tankergeebs</v>
      </c>
      <c r="C73" s="10" t="str">
        <f>IFERROR(__xludf.DUMMYFUNCTION("""COMPUTED_VALUE"""),"STANTON - AARON HALO - Belt")</f>
        <v>STANTON - AARON HALO - Belt</v>
      </c>
      <c r="D73" s="10" t="str">
        <f>IFERROR(__xludf.DUMMYFUNCTION("""COMPUTED_VALUE"""),"AARON_HALO")</f>
        <v>AARON_HALO</v>
      </c>
      <c r="E73" s="14">
        <f>IFERROR(__xludf.DUMMYFUNCTION("""COMPUTED_VALUE"""),7080.0)</f>
        <v>7080</v>
      </c>
      <c r="F73" s="10" t="str">
        <f>IFERROR(__xludf.DUMMYFUNCTION("""COMPUTED_VALUE"""),"None")</f>
        <v>None</v>
      </c>
      <c r="G73" s="10" t="str">
        <f>IFERROR(__xludf.DUMMYFUNCTION("""COMPUTED_VALUE"""),"Beryl")</f>
        <v>Beryl</v>
      </c>
    </row>
    <row r="74">
      <c r="A74" s="13">
        <f>IFERROR(__xludf.DUMMYFUNCTION("""COMPUTED_VALUE"""),46138.41162517361)</f>
        <v>46138.41163</v>
      </c>
      <c r="B74" s="10" t="str">
        <f>IFERROR(__xludf.DUMMYFUNCTION("""COMPUTED_VALUE"""),"amez9674")</f>
        <v>amez9674</v>
      </c>
      <c r="C74" s="10" t="str">
        <f>IFERROR(__xludf.DUMMYFUNCTION("""COMPUTED_VALUE"""),"STANTON - CRUSADER - Daymar")</f>
        <v>STANTON - CRUSADER - Daymar</v>
      </c>
      <c r="D74" s="10" t="str">
        <f>IFERROR(__xludf.DUMMYFUNCTION("""COMPUTED_VALUE"""),"DAY")</f>
        <v>DAY</v>
      </c>
      <c r="E74" s="14"/>
      <c r="F74" s="10" t="str">
        <f>IFERROR(__xludf.DUMMYFUNCTION("""COMPUTED_VALUE"""),"None")</f>
        <v>None</v>
      </c>
      <c r="G74" s="10" t="str">
        <f>IFERROR(__xludf.DUMMYFUNCTION("""COMPUTED_VALUE"""),"Silicon")</f>
        <v>Silicon</v>
      </c>
    </row>
    <row r="75">
      <c r="A75" s="13">
        <f>IFERROR(__xludf.DUMMYFUNCTION("""COMPUTED_VALUE"""),46137.75308935185)</f>
        <v>46137.75309</v>
      </c>
      <c r="B75" s="10" t="str">
        <f>IFERROR(__xludf.DUMMYFUNCTION("""COMPUTED_VALUE"""),"Jenner_Darr")</f>
        <v>Jenner_Darr</v>
      </c>
      <c r="C75" s="10" t="str">
        <f>IFERROR(__xludf.DUMMYFUNCTION("""COMPUTED_VALUE"""),"STANTON - ARCCORP - Wala")</f>
        <v>STANTON - ARCCORP - Wala</v>
      </c>
      <c r="D75" s="10" t="str">
        <f>IFERROR(__xludf.DUMMYFUNCTION("""COMPUTED_VALUE"""),"WAL")</f>
        <v>WAL</v>
      </c>
      <c r="E75" s="14">
        <f>IFERROR(__xludf.DUMMYFUNCTION("""COMPUTED_VALUE"""),64000.0)</f>
        <v>64000</v>
      </c>
      <c r="F75" s="10" t="str">
        <f>IFERROR(__xludf.DUMMYFUNCTION("""COMPUTED_VALUE"""),"32x Debris | 20x Savrilium | 16x Glacosite")</f>
        <v>32x Debris | 20x Savrilium | 16x Glacosite</v>
      </c>
      <c r="G75" s="10" t="str">
        <f>IFERROR(__xludf.DUMMYFUNCTION("""COMPUTED_VALUE"""),"Beradom")</f>
        <v>Beradom</v>
      </c>
    </row>
    <row r="76">
      <c r="A76" s="13">
        <f>IFERROR(__xludf.DUMMYFUNCTION("""COMPUTED_VALUE"""),46137.75255125)</f>
        <v>46137.75255</v>
      </c>
      <c r="B76" s="10" t="str">
        <f>IFERROR(__xludf.DUMMYFUNCTION("""COMPUTED_VALUE"""),"Jenner_Darr")</f>
        <v>Jenner_Darr</v>
      </c>
      <c r="C76" s="10" t="str">
        <f>IFERROR(__xludf.DUMMYFUNCTION("""COMPUTED_VALUE"""),"STANTON - ARCCORP - Wala")</f>
        <v>STANTON - ARCCORP - Wala</v>
      </c>
      <c r="D76" s="10" t="str">
        <f>IFERROR(__xludf.DUMMYFUNCTION("""COMPUTED_VALUE"""),"WAL")</f>
        <v>WAL</v>
      </c>
      <c r="E76" s="14">
        <f>IFERROR(__xludf.DUMMYFUNCTION("""COMPUTED_VALUE"""),80000.0)</f>
        <v>80000</v>
      </c>
      <c r="F76" s="10" t="str">
        <f>IFERROR(__xludf.DUMMYFUNCTION("""COMPUTED_VALUE"""),"40x Debris | 25x Savrilium | 20x Glacosite")</f>
        <v>40x Debris | 25x Savrilium | 20x Glacosite</v>
      </c>
      <c r="G76" s="10" t="str">
        <f>IFERROR(__xludf.DUMMYFUNCTION("""COMPUTED_VALUE"""),"Dolivine")</f>
        <v>Dolivine</v>
      </c>
    </row>
    <row r="77">
      <c r="A77" s="13">
        <f>IFERROR(__xludf.DUMMYFUNCTION("""COMPUTED_VALUE"""),46137.749481875)</f>
        <v>46137.74948</v>
      </c>
      <c r="B77" s="10" t="str">
        <f>IFERROR(__xludf.DUMMYFUNCTION("""COMPUTED_VALUE"""),"Jenner_Darr")</f>
        <v>Jenner_Darr</v>
      </c>
      <c r="C77" s="10" t="str">
        <f>IFERROR(__xludf.DUMMYFUNCTION("""COMPUTED_VALUE"""),"STANTON - ARCCORP - Wala")</f>
        <v>STANTON - ARCCORP - Wala</v>
      </c>
      <c r="D77" s="10" t="str">
        <f>IFERROR(__xludf.DUMMYFUNCTION("""COMPUTED_VALUE"""),"WAL")</f>
        <v>WAL</v>
      </c>
      <c r="E77" s="14">
        <f>IFERROR(__xludf.DUMMYFUNCTION("""COMPUTED_VALUE"""),10620.0)</f>
        <v>10620</v>
      </c>
      <c r="F77" s="10" t="str">
        <f>IFERROR(__xludf.DUMMYFUNCTION("""COMPUTED_VALUE"""),"3x Beryl")</f>
        <v>3x Beryl</v>
      </c>
      <c r="G77" s="10" t="str">
        <f>IFERROR(__xludf.DUMMYFUNCTION("""COMPUTED_VALUE"""),"Beryl")</f>
        <v>Beryl</v>
      </c>
    </row>
    <row r="78">
      <c r="A78" s="13">
        <f>IFERROR(__xludf.DUMMYFUNCTION("""COMPUTED_VALUE"""),46137.74851450232)</f>
        <v>46137.74851</v>
      </c>
      <c r="B78" s="10" t="str">
        <f>IFERROR(__xludf.DUMMYFUNCTION("""COMPUTED_VALUE"""),"Jenner_Darr")</f>
        <v>Jenner_Darr</v>
      </c>
      <c r="C78" s="10" t="str">
        <f>IFERROR(__xludf.DUMMYFUNCTION("""COMPUTED_VALUE"""),"STANTON - ARCCORP - Wala")</f>
        <v>STANTON - ARCCORP - Wala</v>
      </c>
      <c r="D78" s="10" t="str">
        <f>IFERROR(__xludf.DUMMYFUNCTION("""COMPUTED_VALUE"""),"WAL")</f>
        <v>WAL</v>
      </c>
      <c r="E78" s="14">
        <f>IFERROR(__xludf.DUMMYFUNCTION("""COMPUTED_VALUE"""),72000.0)</f>
        <v>72000</v>
      </c>
      <c r="F78" s="10" t="str">
        <f>IFERROR(__xludf.DUMMYFUNCTION("""COMPUTED_VALUE"""),"36x Debris | 24x Saldynium | 20x Bexalite | 18x Glacosite")</f>
        <v>36x Debris | 24x Saldynium | 20x Bexalite | 18x Glacosite</v>
      </c>
      <c r="G78" s="10" t="str">
        <f>IFERROR(__xludf.DUMMYFUNCTION("""COMPUTED_VALUE"""),"Beradom")</f>
        <v>Beradom</v>
      </c>
    </row>
    <row r="79">
      <c r="A79" s="13">
        <f>IFERROR(__xludf.DUMMYFUNCTION("""COMPUTED_VALUE"""),46137.74770086806)</f>
        <v>46137.7477</v>
      </c>
      <c r="B79" s="10" t="str">
        <f>IFERROR(__xludf.DUMMYFUNCTION("""COMPUTED_VALUE"""),"Jenner_Darr")</f>
        <v>Jenner_Darr</v>
      </c>
      <c r="C79" s="10" t="str">
        <f>IFERROR(__xludf.DUMMYFUNCTION("""COMPUTED_VALUE"""),"STANTON - ARCCORP - Wala")</f>
        <v>STANTON - ARCCORP - Wala</v>
      </c>
      <c r="D79" s="10" t="str">
        <f>IFERROR(__xludf.DUMMYFUNCTION("""COMPUTED_VALUE"""),"WAL")</f>
        <v>WAL</v>
      </c>
      <c r="E79" s="14">
        <f>IFERROR(__xludf.DUMMYFUNCTION("""COMPUTED_VALUE"""),33000.0)</f>
        <v>33000</v>
      </c>
      <c r="F79" s="10" t="str">
        <f>IFERROR(__xludf.DUMMYFUNCTION("""COMPUTED_VALUE"""),"11x Saldynium")</f>
        <v>11x Saldynium</v>
      </c>
      <c r="G79" s="10" t="str">
        <f>IFERROR(__xludf.DUMMYFUNCTION("""COMPUTED_VALUE"""),"Aphorite")</f>
        <v>Aphorite</v>
      </c>
    </row>
    <row r="80">
      <c r="A80" s="13">
        <f>IFERROR(__xludf.DUMMYFUNCTION("""COMPUTED_VALUE"""),46137.73468836806)</f>
        <v>46137.73469</v>
      </c>
      <c r="B80" s="10" t="str">
        <f>IFERROR(__xludf.DUMMYFUNCTION("""COMPUTED_VALUE"""),"TalonNerevar")</f>
        <v>TalonNerevar</v>
      </c>
      <c r="C80" s="10" t="str">
        <f>IFERROR(__xludf.DUMMYFUNCTION("""COMPUTED_VALUE"""),"STANTON - ARCCORP - Wala")</f>
        <v>STANTON - ARCCORP - Wala</v>
      </c>
      <c r="D80" s="10" t="str">
        <f>IFERROR(__xludf.DUMMYFUNCTION("""COMPUTED_VALUE"""),"WAL")</f>
        <v>WAL</v>
      </c>
      <c r="E80" s="14">
        <f>IFERROR(__xludf.DUMMYFUNCTION("""COMPUTED_VALUE"""),48000.0)</f>
        <v>48000</v>
      </c>
      <c r="F80" s="10" t="str">
        <f>IFERROR(__xludf.DUMMYFUNCTION("""COMPUTED_VALUE"""),"24x Debris | 16x Saldynium | 15x Savrilium | 12x Glacosite")</f>
        <v>24x Debris | 16x Saldynium | 15x Savrilium | 12x Glacosite</v>
      </c>
      <c r="G80" s="10" t="str">
        <f>IFERROR(__xludf.DUMMYFUNCTION("""COMPUTED_VALUE"""),"Aphorite")</f>
        <v>Aphorite</v>
      </c>
    </row>
    <row r="81">
      <c r="A81" s="13">
        <f>IFERROR(__xludf.DUMMYFUNCTION("""COMPUTED_VALUE"""),46137.71973947917)</f>
        <v>46137.71974</v>
      </c>
      <c r="B81" s="10" t="str">
        <f>IFERROR(__xludf.DUMMYFUNCTION("""COMPUTED_VALUE"""),"TalonNerevar")</f>
        <v>TalonNerevar</v>
      </c>
      <c r="C81" s="10" t="str">
        <f>IFERROR(__xludf.DUMMYFUNCTION("""COMPUTED_VALUE"""),"STANTON - ARCCORP - Wala")</f>
        <v>STANTON - ARCCORP - Wala</v>
      </c>
      <c r="D81" s="10" t="str">
        <f>IFERROR(__xludf.DUMMYFUNCTION("""COMPUTED_VALUE"""),"WAL")</f>
        <v>WAL</v>
      </c>
      <c r="E81" s="14">
        <f>IFERROR(__xludf.DUMMYFUNCTION("""COMPUTED_VALUE"""),51000.0)</f>
        <v>51000</v>
      </c>
      <c r="F81" s="10" t="str">
        <f>IFERROR(__xludf.DUMMYFUNCTION("""COMPUTED_VALUE"""),"17x Saldynium | 15x Lindinium")</f>
        <v>17x Saldynium | 15x Lindinium</v>
      </c>
      <c r="G81" s="10" t="str">
        <f>IFERROR(__xludf.DUMMYFUNCTION("""COMPUTED_VALUE"""),"Aphorite")</f>
        <v>Aphorite</v>
      </c>
    </row>
    <row r="82">
      <c r="A82" s="13">
        <f>IFERROR(__xludf.DUMMYFUNCTION("""COMPUTED_VALUE"""),46137.719126516204)</f>
        <v>46137.71913</v>
      </c>
      <c r="B82" s="10" t="str">
        <f>IFERROR(__xludf.DUMMYFUNCTION("""COMPUTED_VALUE"""),"TalonNerevar")</f>
        <v>TalonNerevar</v>
      </c>
      <c r="C82" s="10" t="str">
        <f>IFERROR(__xludf.DUMMYFUNCTION("""COMPUTED_VALUE"""),"STANTON - ARCCORP - Wala")</f>
        <v>STANTON - ARCCORP - Wala</v>
      </c>
      <c r="D82" s="10" t="str">
        <f>IFERROR(__xludf.DUMMYFUNCTION("""COMPUTED_VALUE"""),"WAL")</f>
        <v>WAL</v>
      </c>
      <c r="E82" s="14">
        <f>IFERROR(__xludf.DUMMYFUNCTION("""COMPUTED_VALUE"""),45000.0)</f>
        <v>45000</v>
      </c>
      <c r="F82" s="10" t="str">
        <f>IFERROR(__xludf.DUMMYFUNCTION("""COMPUTED_VALUE"""),"15x Saldynium")</f>
        <v>15x Saldynium</v>
      </c>
      <c r="G82" s="10" t="str">
        <f>IFERROR(__xludf.DUMMYFUNCTION("""COMPUTED_VALUE"""),"Dolivine")</f>
        <v>Dolivine</v>
      </c>
    </row>
    <row r="83">
      <c r="A83" s="13">
        <f>IFERROR(__xludf.DUMMYFUNCTION("""COMPUTED_VALUE"""),46137.718891655095)</f>
        <v>46137.71889</v>
      </c>
      <c r="B83" s="10" t="str">
        <f>IFERROR(__xludf.DUMMYFUNCTION("""COMPUTED_VALUE"""),"TalonNerevar")</f>
        <v>TalonNerevar</v>
      </c>
      <c r="C83" s="10" t="str">
        <f>IFERROR(__xludf.DUMMYFUNCTION("""COMPUTED_VALUE"""),"STANTON - ARCCORP - Wala")</f>
        <v>STANTON - ARCCORP - Wala</v>
      </c>
      <c r="D83" s="10" t="str">
        <f>IFERROR(__xludf.DUMMYFUNCTION("""COMPUTED_VALUE"""),"WAL")</f>
        <v>WAL</v>
      </c>
      <c r="E83" s="14">
        <f>IFERROR(__xludf.DUMMYFUNCTION("""COMPUTED_VALUE"""),39000.0)</f>
        <v>39000</v>
      </c>
      <c r="F83" s="10" t="str">
        <f>IFERROR(__xludf.DUMMYFUNCTION("""COMPUTED_VALUE"""),"13x Saldynium | 10x Torite")</f>
        <v>13x Saldynium | 10x Torite</v>
      </c>
      <c r="G83" s="10" t="str">
        <f>IFERROR(__xludf.DUMMYFUNCTION("""COMPUTED_VALUE"""),"Dolivine")</f>
        <v>Dolivine</v>
      </c>
    </row>
    <row r="84">
      <c r="A84" s="13">
        <f>IFERROR(__xludf.DUMMYFUNCTION("""COMPUTED_VALUE"""),46137.71757158565)</f>
        <v>46137.71757</v>
      </c>
      <c r="B84" s="10" t="str">
        <f>IFERROR(__xludf.DUMMYFUNCTION("""COMPUTED_VALUE"""),"TalonNerevar")</f>
        <v>TalonNerevar</v>
      </c>
      <c r="C84" s="10" t="str">
        <f>IFERROR(__xludf.DUMMYFUNCTION("""COMPUTED_VALUE"""),"STANTON - ARCCORP - Wala")</f>
        <v>STANTON - ARCCORP - Wala</v>
      </c>
      <c r="D84" s="10" t="str">
        <f>IFERROR(__xludf.DUMMYFUNCTION("""COMPUTED_VALUE"""),"WAL")</f>
        <v>WAL</v>
      </c>
      <c r="E84" s="14">
        <f>IFERROR(__xludf.DUMMYFUNCTION("""COMPUTED_VALUE"""),15300.0)</f>
        <v>15300</v>
      </c>
      <c r="F84" s="10" t="str">
        <f>IFERROR(__xludf.DUMMYFUNCTION("""COMPUTED_VALUE"""),"4x Laranite")</f>
        <v>4x Laranite</v>
      </c>
      <c r="G84" s="10" t="str">
        <f>IFERROR(__xludf.DUMMYFUNCTION("""COMPUTED_VALUE"""),"Laranite")</f>
        <v>Laranite</v>
      </c>
    </row>
    <row r="85">
      <c r="A85" s="13">
        <f>IFERROR(__xludf.DUMMYFUNCTION("""COMPUTED_VALUE"""),46137.71543805556)</f>
        <v>46137.71544</v>
      </c>
      <c r="B85" s="10" t="str">
        <f>IFERROR(__xludf.DUMMYFUNCTION("""COMPUTED_VALUE"""),"Jenner_Darr")</f>
        <v>Jenner_Darr</v>
      </c>
      <c r="C85" s="10" t="str">
        <f>IFERROR(__xludf.DUMMYFUNCTION("""COMPUTED_VALUE"""),"STANTON - ARCCORP - Wala")</f>
        <v>STANTON - ARCCORP - Wala</v>
      </c>
      <c r="D85" s="10" t="str">
        <f>IFERROR(__xludf.DUMMYFUNCTION("""COMPUTED_VALUE"""),"WAL")</f>
        <v>WAL</v>
      </c>
      <c r="E85" s="14">
        <f>IFERROR(__xludf.DUMMYFUNCTION("""COMPUTED_VALUE"""),60000.0)</f>
        <v>60000</v>
      </c>
      <c r="F85" s="10" t="str">
        <f>IFERROR(__xludf.DUMMYFUNCTION("""COMPUTED_VALUE"""),"30x Debris | 20x Saldynium | 15x Glacosite")</f>
        <v>30x Debris | 20x Saldynium | 15x Glacosite</v>
      </c>
      <c r="G85" s="10" t="str">
        <f>IFERROR(__xludf.DUMMYFUNCTION("""COMPUTED_VALUE"""),"Copper")</f>
        <v>Copper</v>
      </c>
    </row>
    <row r="86">
      <c r="A86" s="13">
        <f>IFERROR(__xludf.DUMMYFUNCTION("""COMPUTED_VALUE"""),46137.678084479165)</f>
        <v>46137.67808</v>
      </c>
      <c r="B86" s="10" t="str">
        <f>IFERROR(__xludf.DUMMYFUNCTION("""COMPUTED_VALUE"""),"TalonNerevar")</f>
        <v>TalonNerevar</v>
      </c>
      <c r="C86" s="10" t="str">
        <f>IFERROR(__xludf.DUMMYFUNCTION("""COMPUTED_VALUE"""),"STANTON - ARCCORP - Wala")</f>
        <v>STANTON - ARCCORP - Wala</v>
      </c>
      <c r="D86" s="10" t="str">
        <f>IFERROR(__xludf.DUMMYFUNCTION("""COMPUTED_VALUE"""),"WAL")</f>
        <v>WAL</v>
      </c>
      <c r="E86" s="14">
        <f>IFERROR(__xludf.DUMMYFUNCTION("""COMPUTED_VALUE"""),57000.0)</f>
        <v>57000</v>
      </c>
      <c r="F86" s="10" t="str">
        <f>IFERROR(__xludf.DUMMYFUNCTION("""COMPUTED_VALUE"""),"19x Saldynium | 12x Tungsten")</f>
        <v>19x Saldynium | 12x Tungsten</v>
      </c>
      <c r="G86" s="10" t="str">
        <f>IFERROR(__xludf.DUMMYFUNCTION("""COMPUTED_VALUE"""),"Janalite")</f>
        <v>Janalite</v>
      </c>
    </row>
    <row r="87">
      <c r="A87" s="13">
        <f>IFERROR(__xludf.DUMMYFUNCTION("""COMPUTED_VALUE"""),46137.6758012037)</f>
        <v>46137.6758</v>
      </c>
      <c r="B87" s="10" t="str">
        <f>IFERROR(__xludf.DUMMYFUNCTION("""COMPUTED_VALUE"""),"TalonNerevar")</f>
        <v>TalonNerevar</v>
      </c>
      <c r="C87" s="10" t="str">
        <f>IFERROR(__xludf.DUMMYFUNCTION("""COMPUTED_VALUE"""),"STANTON - ARCCORP - Wala")</f>
        <v>STANTON - ARCCORP - Wala</v>
      </c>
      <c r="D87" s="10" t="str">
        <f>IFERROR(__xludf.DUMMYFUNCTION("""COMPUTED_VALUE"""),"WAL")</f>
        <v>WAL</v>
      </c>
      <c r="E87" s="14">
        <f>IFERROR(__xludf.DUMMYFUNCTION("""COMPUTED_VALUE"""),60000.0)</f>
        <v>60000</v>
      </c>
      <c r="F87" s="10" t="str">
        <f>IFERROR(__xludf.DUMMYFUNCTION("""COMPUTED_VALUE"""),"30x Debris | 20x Saldynium | 15x Glacosite")</f>
        <v>30x Debris | 20x Saldynium | 15x Glacosite</v>
      </c>
      <c r="G87" s="10" t="str">
        <f>IFERROR(__xludf.DUMMYFUNCTION("""COMPUTED_VALUE"""),"Aphorite")</f>
        <v>Aphorite</v>
      </c>
    </row>
    <row r="88">
      <c r="A88" s="13">
        <f>IFERROR(__xludf.DUMMYFUNCTION("""COMPUTED_VALUE"""),46137.673001041665)</f>
        <v>46137.673</v>
      </c>
      <c r="B88" s="10" t="str">
        <f>IFERROR(__xludf.DUMMYFUNCTION("""COMPUTED_VALUE"""),"TalonNerevar")</f>
        <v>TalonNerevar</v>
      </c>
      <c r="C88" s="10" t="str">
        <f>IFERROR(__xludf.DUMMYFUNCTION("""COMPUTED_VALUE"""),"STANTON - ARCCORP - Wala")</f>
        <v>STANTON - ARCCORP - Wala</v>
      </c>
      <c r="D88" s="10" t="str">
        <f>IFERROR(__xludf.DUMMYFUNCTION("""COMPUTED_VALUE"""),"WAL")</f>
        <v>WAL</v>
      </c>
      <c r="E88" s="14">
        <f>IFERROR(__xludf.DUMMYFUNCTION("""COMPUTED_VALUE"""),51000.0)</f>
        <v>51000</v>
      </c>
      <c r="F88" s="10" t="str">
        <f>IFERROR(__xludf.DUMMYFUNCTION("""COMPUTED_VALUE"""),"17x Saldynium | 15x Lindinium")</f>
        <v>17x Saldynium | 15x Lindinium</v>
      </c>
      <c r="G88" s="10" t="str">
        <f>IFERROR(__xludf.DUMMYFUNCTION("""COMPUTED_VALUE"""),"Aphorite")</f>
        <v>Aphorite</v>
      </c>
    </row>
    <row r="89">
      <c r="A89" s="13">
        <f>IFERROR(__xludf.DUMMYFUNCTION("""COMPUTED_VALUE"""),46137.67092626157)</f>
        <v>46137.67093</v>
      </c>
      <c r="B89" s="10" t="str">
        <f>IFERROR(__xludf.DUMMYFUNCTION("""COMPUTED_VALUE"""),"TalonNerevar")</f>
        <v>TalonNerevar</v>
      </c>
      <c r="C89" s="10" t="str">
        <f>IFERROR(__xludf.DUMMYFUNCTION("""COMPUTED_VALUE"""),"STANTON - ARCCORP - Wala")</f>
        <v>STANTON - ARCCORP - Wala</v>
      </c>
      <c r="D89" s="10" t="str">
        <f>IFERROR(__xludf.DUMMYFUNCTION("""COMPUTED_VALUE"""),"WAL")</f>
        <v>WAL</v>
      </c>
      <c r="E89" s="14">
        <f>IFERROR(__xludf.DUMMYFUNCTION("""COMPUTED_VALUE"""),51000.0)</f>
        <v>51000</v>
      </c>
      <c r="F89" s="10" t="str">
        <f>IFERROR(__xludf.DUMMYFUNCTION("""COMPUTED_VALUE"""),"17x Saldynium | 15x Lindinium")</f>
        <v>17x Saldynium | 15x Lindinium</v>
      </c>
      <c r="G89" s="10" t="str">
        <f>IFERROR(__xludf.DUMMYFUNCTION("""COMPUTED_VALUE"""),"Aphorite")</f>
        <v>Aphorite</v>
      </c>
    </row>
    <row r="90">
      <c r="A90" s="13">
        <f>IFERROR(__xludf.DUMMYFUNCTION("""COMPUTED_VALUE"""),46137.670794907404)</f>
        <v>46137.67079</v>
      </c>
      <c r="B90" s="10" t="str">
        <f>IFERROR(__xludf.DUMMYFUNCTION("""COMPUTED_VALUE"""),"TalonNerevar")</f>
        <v>TalonNerevar</v>
      </c>
      <c r="C90" s="10" t="str">
        <f>IFERROR(__xludf.DUMMYFUNCTION("""COMPUTED_VALUE"""),"STANTON - ARCCORP - Wala")</f>
        <v>STANTON - ARCCORP - Wala</v>
      </c>
      <c r="D90" s="10" t="str">
        <f>IFERROR(__xludf.DUMMYFUNCTION("""COMPUTED_VALUE"""),"WAL")</f>
        <v>WAL</v>
      </c>
      <c r="E90" s="14">
        <f>IFERROR(__xludf.DUMMYFUNCTION("""COMPUTED_VALUE"""),21200.0)</f>
        <v>21200</v>
      </c>
      <c r="F90" s="10" t="str">
        <f>IFERROR(__xludf.DUMMYFUNCTION("""COMPUTED_VALUE"""),"5x Copper")</f>
        <v>5x Copper</v>
      </c>
      <c r="G90" s="10" t="str">
        <f>IFERROR(__xludf.DUMMYFUNCTION("""COMPUTED_VALUE"""),"Copper")</f>
        <v>Copper</v>
      </c>
    </row>
    <row r="91">
      <c r="A91" s="13">
        <f>IFERROR(__xludf.DUMMYFUNCTION("""COMPUTED_VALUE"""),46137.66914903936)</f>
        <v>46137.66915</v>
      </c>
      <c r="B91" s="10" t="str">
        <f>IFERROR(__xludf.DUMMYFUNCTION("""COMPUTED_VALUE"""),"TalonNerevar")</f>
        <v>TalonNerevar</v>
      </c>
      <c r="C91" s="10" t="str">
        <f>IFERROR(__xludf.DUMMYFUNCTION("""COMPUTED_VALUE"""),"STANTON - ARCCORP - Wala")</f>
        <v>STANTON - ARCCORP - Wala</v>
      </c>
      <c r="D91" s="10" t="str">
        <f>IFERROR(__xludf.DUMMYFUNCTION("""COMPUTED_VALUE"""),"WAL")</f>
        <v>WAL</v>
      </c>
      <c r="E91" s="14">
        <f>IFERROR(__xludf.DUMMYFUNCTION("""COMPUTED_VALUE"""),60000.0)</f>
        <v>60000</v>
      </c>
      <c r="F91" s="10" t="str">
        <f>IFERROR(__xludf.DUMMYFUNCTION("""COMPUTED_VALUE"""),"30x Debris | 20x Saldynium | 15x Glacosite")</f>
        <v>30x Debris | 20x Saldynium | 15x Glacosite</v>
      </c>
      <c r="G91" s="10" t="str">
        <f>IFERROR(__xludf.DUMMYFUNCTION("""COMPUTED_VALUE"""),"Dolivine")</f>
        <v>Dolivine</v>
      </c>
    </row>
    <row r="92">
      <c r="A92" s="13">
        <f>IFERROR(__xludf.DUMMYFUNCTION("""COMPUTED_VALUE"""),46137.66901884259)</f>
        <v>46137.66902</v>
      </c>
      <c r="B92" s="10" t="str">
        <f>IFERROR(__xludf.DUMMYFUNCTION("""COMPUTED_VALUE"""),"TalonNerevar")</f>
        <v>TalonNerevar</v>
      </c>
      <c r="C92" s="10" t="str">
        <f>IFERROR(__xludf.DUMMYFUNCTION("""COMPUTED_VALUE"""),"STANTON - ARCCORP - Wala")</f>
        <v>STANTON - ARCCORP - Wala</v>
      </c>
      <c r="D92" s="10" t="str">
        <f>IFERROR(__xludf.DUMMYFUNCTION("""COMPUTED_VALUE"""),"WAL")</f>
        <v>WAL</v>
      </c>
      <c r="E92" s="14">
        <f>IFERROR(__xludf.DUMMYFUNCTION("""COMPUTED_VALUE"""),17080.0)</f>
        <v>17080</v>
      </c>
      <c r="F92" s="10" t="str">
        <f>IFERROR(__xludf.DUMMYFUNCTION("""COMPUTED_VALUE"""),"4x Iron")</f>
        <v>4x Iron</v>
      </c>
      <c r="G92" s="10" t="str">
        <f>IFERROR(__xludf.DUMMYFUNCTION("""COMPUTED_VALUE"""),"Iron")</f>
        <v>Iron</v>
      </c>
    </row>
    <row r="93">
      <c r="A93" s="13">
        <f>IFERROR(__xludf.DUMMYFUNCTION("""COMPUTED_VALUE"""),46137.66678712963)</f>
        <v>46137.66679</v>
      </c>
      <c r="B93" s="10" t="str">
        <f>IFERROR(__xludf.DUMMYFUNCTION("""COMPUTED_VALUE"""),"TalonNerevar")</f>
        <v>TalonNerevar</v>
      </c>
      <c r="C93" s="10" t="str">
        <f>IFERROR(__xludf.DUMMYFUNCTION("""COMPUTED_VALUE"""),"STANTON - ARCCORP - Wala")</f>
        <v>STANTON - ARCCORP - Wala</v>
      </c>
      <c r="D93" s="10" t="str">
        <f>IFERROR(__xludf.DUMMYFUNCTION("""COMPUTED_VALUE"""),"WAL")</f>
        <v>WAL</v>
      </c>
      <c r="E93" s="14">
        <f>IFERROR(__xludf.DUMMYFUNCTION("""COMPUTED_VALUE"""),39000.0)</f>
        <v>39000</v>
      </c>
      <c r="F93" s="10" t="str">
        <f>IFERROR(__xludf.DUMMYFUNCTION("""COMPUTED_VALUE"""),"13x Saldynium | 10x Torite")</f>
        <v>13x Saldynium | 10x Torite</v>
      </c>
      <c r="G93" s="10" t="str">
        <f>IFERROR(__xludf.DUMMYFUNCTION("""COMPUTED_VALUE"""),"Aphorite")</f>
        <v>Aphorite</v>
      </c>
    </row>
    <row r="94">
      <c r="A94" s="13">
        <f>IFERROR(__xludf.DUMMYFUNCTION("""COMPUTED_VALUE"""),46137.666273333336)</f>
        <v>46137.66627</v>
      </c>
      <c r="B94" s="10" t="str">
        <f>IFERROR(__xludf.DUMMYFUNCTION("""COMPUTED_VALUE"""),"TalonNerevar")</f>
        <v>TalonNerevar</v>
      </c>
      <c r="C94" s="10" t="str">
        <f>IFERROR(__xludf.DUMMYFUNCTION("""COMPUTED_VALUE"""),"STANTON - ARCCORP - Wala")</f>
        <v>STANTON - ARCCORP - Wala</v>
      </c>
      <c r="D94" s="10" t="str">
        <f>IFERROR(__xludf.DUMMYFUNCTION("""COMPUTED_VALUE"""),"WAL")</f>
        <v>WAL</v>
      </c>
      <c r="E94" s="14">
        <f>IFERROR(__xludf.DUMMYFUNCTION("""COMPUTED_VALUE"""),10620.0)</f>
        <v>10620</v>
      </c>
      <c r="F94" s="10" t="str">
        <f>IFERROR(__xludf.DUMMYFUNCTION("""COMPUTED_VALUE"""),"3x Beryl")</f>
        <v>3x Beryl</v>
      </c>
      <c r="G94" s="10" t="str">
        <f>IFERROR(__xludf.DUMMYFUNCTION("""COMPUTED_VALUE"""),"Beryl")</f>
        <v>Beryl</v>
      </c>
    </row>
    <row r="95">
      <c r="A95" s="13">
        <f>IFERROR(__xludf.DUMMYFUNCTION("""COMPUTED_VALUE"""),46137.66585024305)</f>
        <v>46137.66585</v>
      </c>
      <c r="B95" s="10" t="str">
        <f>IFERROR(__xludf.DUMMYFUNCTION("""COMPUTED_VALUE"""),"TalonNerevar")</f>
        <v>TalonNerevar</v>
      </c>
      <c r="C95" s="10" t="str">
        <f>IFERROR(__xludf.DUMMYFUNCTION("""COMPUTED_VALUE"""),"STANTON - ARCCORP - Wala")</f>
        <v>STANTON - ARCCORP - Wala</v>
      </c>
      <c r="D95" s="10" t="str">
        <f>IFERROR(__xludf.DUMMYFUNCTION("""COMPUTED_VALUE"""),"WAL")</f>
        <v>WAL</v>
      </c>
      <c r="E95" s="14">
        <f>IFERROR(__xludf.DUMMYFUNCTION("""COMPUTED_VALUE"""),42000.0)</f>
        <v>42000</v>
      </c>
      <c r="F95" s="10" t="str">
        <f>IFERROR(__xludf.DUMMYFUNCTION("""COMPUTED_VALUE"""),"21x Debris | 14x Saldynium")</f>
        <v>21x Debris | 14x Saldynium</v>
      </c>
      <c r="G95" s="10" t="str">
        <f>IFERROR(__xludf.DUMMYFUNCTION("""COMPUTED_VALUE"""),"Aphorite")</f>
        <v>Aphorite</v>
      </c>
    </row>
    <row r="96">
      <c r="A96" s="13">
        <f>IFERROR(__xludf.DUMMYFUNCTION("""COMPUTED_VALUE"""),46137.66530122685)</f>
        <v>46137.6653</v>
      </c>
      <c r="B96" s="10" t="str">
        <f>IFERROR(__xludf.DUMMYFUNCTION("""COMPUTED_VALUE"""),"TalonNerevar")</f>
        <v>TalonNerevar</v>
      </c>
      <c r="C96" s="10" t="str">
        <f>IFERROR(__xludf.DUMMYFUNCTION("""COMPUTED_VALUE"""),"STANTON - ARCCORP - Wala")</f>
        <v>STANTON - ARCCORP - Wala</v>
      </c>
      <c r="D96" s="10" t="str">
        <f>IFERROR(__xludf.DUMMYFUNCTION("""COMPUTED_VALUE"""),"WAL")</f>
        <v>WAL</v>
      </c>
      <c r="E96" s="14">
        <f>IFERROR(__xludf.DUMMYFUNCTION("""COMPUTED_VALUE"""),15300.0)</f>
        <v>15300</v>
      </c>
      <c r="F96" s="10" t="str">
        <f>IFERROR(__xludf.DUMMYFUNCTION("""COMPUTED_VALUE"""),"4x Laranite")</f>
        <v>4x Laranite</v>
      </c>
      <c r="G96" s="10" t="str">
        <f>IFERROR(__xludf.DUMMYFUNCTION("""COMPUTED_VALUE"""),"Laranite")</f>
        <v>Laranite</v>
      </c>
    </row>
    <row r="97">
      <c r="A97" s="13">
        <f>IFERROR(__xludf.DUMMYFUNCTION("""COMPUTED_VALUE"""),46137.66486099536)</f>
        <v>46137.66486</v>
      </c>
      <c r="B97" s="10" t="str">
        <f>IFERROR(__xludf.DUMMYFUNCTION("""COMPUTED_VALUE"""),"TalonNerevar")</f>
        <v>TalonNerevar</v>
      </c>
      <c r="C97" s="10" t="str">
        <f>IFERROR(__xludf.DUMMYFUNCTION("""COMPUTED_VALUE"""),"STANTON - ARCCORP - Wala")</f>
        <v>STANTON - ARCCORP - Wala</v>
      </c>
      <c r="D97" s="10" t="str">
        <f>IFERROR(__xludf.DUMMYFUNCTION("""COMPUTED_VALUE"""),"WAL")</f>
        <v>WAL</v>
      </c>
      <c r="E97" s="14">
        <f>IFERROR(__xludf.DUMMYFUNCTION("""COMPUTED_VALUE"""),30000.0)</f>
        <v>30000</v>
      </c>
      <c r="F97" s="10" t="str">
        <f>IFERROR(__xludf.DUMMYFUNCTION("""COMPUTED_VALUE"""),"15x Debris | 10x Saldynium")</f>
        <v>15x Debris | 10x Saldynium</v>
      </c>
      <c r="G97" s="10" t="str">
        <f>IFERROR(__xludf.DUMMYFUNCTION("""COMPUTED_VALUE"""),"Aphorite")</f>
        <v>Aphorite</v>
      </c>
    </row>
    <row r="98">
      <c r="A98" s="13">
        <f>IFERROR(__xludf.DUMMYFUNCTION("""COMPUTED_VALUE"""),46137.664380277776)</f>
        <v>46137.66438</v>
      </c>
      <c r="B98" s="10" t="str">
        <f>IFERROR(__xludf.DUMMYFUNCTION("""COMPUTED_VALUE"""),"TalonNerevar")</f>
        <v>TalonNerevar</v>
      </c>
      <c r="C98" s="10" t="str">
        <f>IFERROR(__xludf.DUMMYFUNCTION("""COMPUTED_VALUE"""),"STANTON - ARCCORP - Wala")</f>
        <v>STANTON - ARCCORP - Wala</v>
      </c>
      <c r="D98" s="10" t="str">
        <f>IFERROR(__xludf.DUMMYFUNCTION("""COMPUTED_VALUE"""),"WAL")</f>
        <v>WAL</v>
      </c>
      <c r="E98" s="14">
        <f>IFERROR(__xludf.DUMMYFUNCTION("""COMPUTED_VALUE"""),30000.0)</f>
        <v>30000</v>
      </c>
      <c r="F98" s="10" t="str">
        <f>IFERROR(__xludf.DUMMYFUNCTION("""COMPUTED_VALUE"""),"15x Debris | 10x Saldynium")</f>
        <v>15x Debris | 10x Saldynium</v>
      </c>
      <c r="G98" s="10" t="str">
        <f>IFERROR(__xludf.DUMMYFUNCTION("""COMPUTED_VALUE"""),"Dolivine")</f>
        <v>Dolivine</v>
      </c>
    </row>
    <row r="99">
      <c r="A99" s="13">
        <f>IFERROR(__xludf.DUMMYFUNCTION("""COMPUTED_VALUE"""),46137.66382678241)</f>
        <v>46137.66383</v>
      </c>
      <c r="B99" s="10" t="str">
        <f>IFERROR(__xludf.DUMMYFUNCTION("""COMPUTED_VALUE"""),"TalonNerevar")</f>
        <v>TalonNerevar</v>
      </c>
      <c r="C99" s="10" t="str">
        <f>IFERROR(__xludf.DUMMYFUNCTION("""COMPUTED_VALUE"""),"STANTON - ARCCORP - Wala")</f>
        <v>STANTON - ARCCORP - Wala</v>
      </c>
      <c r="D99" s="10" t="str">
        <f>IFERROR(__xludf.DUMMYFUNCTION("""COMPUTED_VALUE"""),"WAL")</f>
        <v>WAL</v>
      </c>
      <c r="E99" s="14">
        <f>IFERROR(__xludf.DUMMYFUNCTION("""COMPUTED_VALUE"""),51000.0)</f>
        <v>51000</v>
      </c>
      <c r="F99" s="10" t="str">
        <f>IFERROR(__xludf.DUMMYFUNCTION("""COMPUTED_VALUE"""),"17x Saldynium | 15x Lindinium")</f>
        <v>17x Saldynium | 15x Lindinium</v>
      </c>
      <c r="G99" s="10" t="str">
        <f>IFERROR(__xludf.DUMMYFUNCTION("""COMPUTED_VALUE"""),"Aphorite")</f>
        <v>Aphorite</v>
      </c>
    </row>
    <row r="100">
      <c r="A100" s="13">
        <f>IFERROR(__xludf.DUMMYFUNCTION("""COMPUTED_VALUE"""),46137.66344224537)</f>
        <v>46137.66344</v>
      </c>
      <c r="B100" s="10" t="str">
        <f>IFERROR(__xludf.DUMMYFUNCTION("""COMPUTED_VALUE"""),"TalonNerevar")</f>
        <v>TalonNerevar</v>
      </c>
      <c r="C100" s="10" t="str">
        <f>IFERROR(__xludf.DUMMYFUNCTION("""COMPUTED_VALUE"""),"STANTON - ARCCORP - Wala")</f>
        <v>STANTON - ARCCORP - Wala</v>
      </c>
      <c r="D100" s="10" t="str">
        <f>IFERROR(__xludf.DUMMYFUNCTION("""COMPUTED_VALUE"""),"WAL")</f>
        <v>WAL</v>
      </c>
      <c r="E100" s="14">
        <f>IFERROR(__xludf.DUMMYFUNCTION("""COMPUTED_VALUE"""),45000.0)</f>
        <v>45000</v>
      </c>
      <c r="F100" s="10" t="str">
        <f>IFERROR(__xludf.DUMMYFUNCTION("""COMPUTED_VALUE"""),"15x Saldynium")</f>
        <v>15x Saldynium</v>
      </c>
      <c r="G100" s="10" t="str">
        <f>IFERROR(__xludf.DUMMYFUNCTION("""COMPUTED_VALUE"""),"Dolivine")</f>
        <v>Dolivine</v>
      </c>
    </row>
    <row r="101">
      <c r="A101" s="13">
        <f>IFERROR(__xludf.DUMMYFUNCTION("""COMPUTED_VALUE"""),46137.662988993055)</f>
        <v>46137.66299</v>
      </c>
      <c r="B101" s="10" t="str">
        <f>IFERROR(__xludf.DUMMYFUNCTION("""COMPUTED_VALUE"""),"TalonNerevar")</f>
        <v>TalonNerevar</v>
      </c>
      <c r="C101" s="10" t="str">
        <f>IFERROR(__xludf.DUMMYFUNCTION("""COMPUTED_VALUE"""),"STANTON - ARCCORP - Wala")</f>
        <v>STANTON - ARCCORP - Wala</v>
      </c>
      <c r="D101" s="10" t="str">
        <f>IFERROR(__xludf.DUMMYFUNCTION("""COMPUTED_VALUE"""),"WAL")</f>
        <v>WAL</v>
      </c>
      <c r="E101" s="14">
        <f>IFERROR(__xludf.DUMMYFUNCTION("""COMPUTED_VALUE"""),16960.0)</f>
        <v>16960</v>
      </c>
      <c r="F101" s="10" t="str">
        <f>IFERROR(__xludf.DUMMYFUNCTION("""COMPUTED_VALUE"""),"4x Copper")</f>
        <v>4x Copper</v>
      </c>
      <c r="G101" s="10" t="str">
        <f>IFERROR(__xludf.DUMMYFUNCTION("""COMPUTED_VALUE"""),"Copper")</f>
        <v>Copper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63"/>
    <col customWidth="1" min="2" max="2" width="11.63"/>
    <col customWidth="1" min="3" max="3" width="16.75"/>
  </cols>
  <sheetData>
    <row r="1">
      <c r="A1" s="5" t="s">
        <v>450</v>
      </c>
      <c r="B1" s="5" t="s">
        <v>571</v>
      </c>
      <c r="C1" s="5" t="s">
        <v>420</v>
      </c>
      <c r="D1" s="5" t="s">
        <v>406</v>
      </c>
      <c r="E1" s="5" t="s">
        <v>422</v>
      </c>
      <c r="F1" s="5" t="s">
        <v>431</v>
      </c>
      <c r="G1" s="5" t="s">
        <v>23</v>
      </c>
      <c r="H1" s="5" t="s">
        <v>408</v>
      </c>
      <c r="I1" s="5" t="s">
        <v>434</v>
      </c>
      <c r="J1" s="5" t="s">
        <v>430</v>
      </c>
      <c r="K1" s="5" t="s">
        <v>426</v>
      </c>
      <c r="L1" s="5" t="s">
        <v>444</v>
      </c>
      <c r="M1" s="5" t="s">
        <v>441</v>
      </c>
      <c r="N1" s="5" t="s">
        <v>443</v>
      </c>
      <c r="O1" s="5" t="s">
        <v>440</v>
      </c>
      <c r="P1" s="5" t="s">
        <v>442</v>
      </c>
      <c r="Q1" s="5" t="s">
        <v>435</v>
      </c>
      <c r="R1" s="5" t="s">
        <v>429</v>
      </c>
      <c r="S1" s="5" t="s">
        <v>418</v>
      </c>
      <c r="T1" s="5" t="s">
        <v>421</v>
      </c>
      <c r="U1" s="5" t="s">
        <v>423</v>
      </c>
      <c r="V1" s="5" t="s">
        <v>439</v>
      </c>
      <c r="W1" s="5" t="s">
        <v>419</v>
      </c>
      <c r="X1" s="5" t="s">
        <v>436</v>
      </c>
      <c r="Y1" s="5" t="s">
        <v>447</v>
      </c>
      <c r="Z1" s="5" t="s">
        <v>414</v>
      </c>
      <c r="AA1" s="5" t="s">
        <v>428</v>
      </c>
      <c r="AB1" s="5" t="s">
        <v>413</v>
      </c>
      <c r="AC1" s="5" t="s">
        <v>416</v>
      </c>
      <c r="AD1" s="5" t="s">
        <v>425</v>
      </c>
      <c r="AE1" s="5">
        <v>11700.0</v>
      </c>
      <c r="AF1" s="5" t="s">
        <v>432</v>
      </c>
      <c r="AG1" s="5" t="s">
        <v>411</v>
      </c>
      <c r="AH1" s="5" t="s">
        <v>417</v>
      </c>
      <c r="AI1" s="5" t="s">
        <v>433</v>
      </c>
    </row>
    <row r="2">
      <c r="A2" s="5" t="s">
        <v>572</v>
      </c>
      <c r="B2" s="5">
        <v>0.0</v>
      </c>
      <c r="C2" s="5">
        <v>0.0</v>
      </c>
    </row>
    <row r="3">
      <c r="A3" s="5" t="s">
        <v>456</v>
      </c>
      <c r="B3" s="15">
        <v>11.0</v>
      </c>
      <c r="D3" s="15">
        <v>3.0</v>
      </c>
      <c r="F3" s="15">
        <v>1.0</v>
      </c>
      <c r="I3" s="15">
        <v>1.0</v>
      </c>
      <c r="K3" s="15">
        <v>1.0</v>
      </c>
      <c r="AB3" s="15">
        <v>1.0</v>
      </c>
      <c r="AC3" s="15">
        <v>3.0</v>
      </c>
      <c r="AD3" s="15">
        <v>1.0</v>
      </c>
      <c r="AE3" s="15"/>
      <c r="AF3" s="15"/>
      <c r="AG3" s="15"/>
      <c r="AH3" s="15"/>
      <c r="AI3" s="15"/>
    </row>
    <row r="4">
      <c r="A4" s="5" t="s">
        <v>459</v>
      </c>
      <c r="B4" s="15">
        <v>6.0</v>
      </c>
      <c r="E4" s="15">
        <v>2.0</v>
      </c>
      <c r="F4" s="15">
        <v>2.0</v>
      </c>
      <c r="G4" s="15">
        <v>1.0</v>
      </c>
      <c r="H4" s="15">
        <v>1.0</v>
      </c>
    </row>
    <row r="5">
      <c r="A5" s="5" t="s">
        <v>461</v>
      </c>
      <c r="B5" s="15">
        <v>31.0</v>
      </c>
      <c r="E5" s="15">
        <v>7.0</v>
      </c>
      <c r="G5" s="15">
        <v>4.0</v>
      </c>
      <c r="I5" s="15">
        <v>4.0</v>
      </c>
      <c r="J5" s="15">
        <v>4.0</v>
      </c>
      <c r="K5" s="15">
        <v>3.0</v>
      </c>
      <c r="L5" s="15">
        <v>9.0</v>
      </c>
    </row>
    <row r="6">
      <c r="A6" s="5" t="s">
        <v>484</v>
      </c>
      <c r="B6" s="15">
        <v>21.0</v>
      </c>
      <c r="H6" s="15">
        <v>2.0</v>
      </c>
      <c r="M6" s="15">
        <v>2.0</v>
      </c>
      <c r="N6" s="15">
        <v>7.0</v>
      </c>
      <c r="O6" s="15">
        <v>2.0</v>
      </c>
      <c r="P6" s="15">
        <v>2.0</v>
      </c>
      <c r="Q6" s="15">
        <v>1.0</v>
      </c>
      <c r="R6" s="15">
        <v>2.0</v>
      </c>
      <c r="S6" s="15">
        <v>1.0</v>
      </c>
      <c r="T6" s="15">
        <v>2.0</v>
      </c>
    </row>
    <row r="7">
      <c r="A7" s="5" t="s">
        <v>501</v>
      </c>
      <c r="B7" s="15">
        <v>44.0</v>
      </c>
      <c r="F7" s="15">
        <v>1.0</v>
      </c>
      <c r="H7" s="15">
        <v>1.0</v>
      </c>
      <c r="I7" s="15">
        <v>2.0</v>
      </c>
      <c r="J7" s="15">
        <v>3.0</v>
      </c>
      <c r="M7" s="15">
        <v>9.0</v>
      </c>
      <c r="N7" s="15">
        <v>12.0</v>
      </c>
      <c r="O7" s="15">
        <v>4.0</v>
      </c>
      <c r="P7" s="15">
        <v>2.0</v>
      </c>
      <c r="U7" s="15">
        <v>4.0</v>
      </c>
      <c r="V7" s="15">
        <v>1.0</v>
      </c>
      <c r="W7" s="15">
        <v>4.0</v>
      </c>
      <c r="X7" s="15">
        <v>1.0</v>
      </c>
    </row>
    <row r="8">
      <c r="A8" s="5" t="s">
        <v>520</v>
      </c>
      <c r="B8" s="15">
        <v>4.0</v>
      </c>
      <c r="E8" s="15">
        <v>1.0</v>
      </c>
      <c r="F8" s="15">
        <v>1.0</v>
      </c>
      <c r="Q8" s="15">
        <v>1.0</v>
      </c>
      <c r="W8" s="15">
        <v>1.0</v>
      </c>
    </row>
    <row r="9">
      <c r="A9" s="5" t="s">
        <v>522</v>
      </c>
      <c r="B9" s="15">
        <v>13.0</v>
      </c>
      <c r="F9" s="15">
        <v>1.0</v>
      </c>
      <c r="H9" s="15">
        <v>4.0</v>
      </c>
      <c r="I9" s="15">
        <v>2.0</v>
      </c>
      <c r="L9" s="15">
        <v>1.0</v>
      </c>
      <c r="W9" s="15">
        <v>1.0</v>
      </c>
      <c r="Y9" s="15">
        <v>4.0</v>
      </c>
    </row>
    <row r="10">
      <c r="A10" s="5" t="s">
        <v>523</v>
      </c>
      <c r="B10" s="15">
        <v>1.0</v>
      </c>
      <c r="H10" s="15">
        <v>1.0</v>
      </c>
    </row>
    <row r="11">
      <c r="A11" s="5" t="s">
        <v>524</v>
      </c>
      <c r="B11" s="15">
        <v>2.0</v>
      </c>
      <c r="Y11" s="15">
        <v>1.0</v>
      </c>
      <c r="Z11" s="15">
        <v>1.0</v>
      </c>
      <c r="AA11" s="15"/>
      <c r="AB11" s="15"/>
      <c r="AC11" s="15"/>
      <c r="AD11" s="15"/>
      <c r="AE11" s="15"/>
      <c r="AF11" s="15"/>
      <c r="AG11" s="15"/>
      <c r="AH11" s="15"/>
      <c r="AI11" s="15"/>
    </row>
    <row r="12">
      <c r="A12" s="5" t="s">
        <v>526</v>
      </c>
      <c r="B12" s="15">
        <v>2.0</v>
      </c>
      <c r="Y12" s="15">
        <v>1.0</v>
      </c>
      <c r="Z12" s="15">
        <v>1.0</v>
      </c>
      <c r="AA12" s="15"/>
      <c r="AB12" s="15"/>
      <c r="AC12" s="15"/>
      <c r="AD12" s="15"/>
      <c r="AE12" s="15"/>
      <c r="AF12" s="15"/>
      <c r="AG12" s="15"/>
      <c r="AH12" s="15"/>
      <c r="AI12" s="15"/>
    </row>
    <row r="13">
      <c r="A13" s="5" t="s">
        <v>529</v>
      </c>
      <c r="B13" s="15">
        <v>1.0</v>
      </c>
      <c r="M13" s="15">
        <v>1.0</v>
      </c>
    </row>
    <row r="14">
      <c r="A14" s="5" t="s">
        <v>534</v>
      </c>
      <c r="B14" s="15">
        <v>5.0</v>
      </c>
      <c r="F14" s="15">
        <v>1.0</v>
      </c>
      <c r="U14" s="15">
        <v>1.0</v>
      </c>
      <c r="AA14" s="15">
        <v>3.0</v>
      </c>
      <c r="AB14" s="15"/>
      <c r="AC14" s="15"/>
      <c r="AD14" s="15"/>
      <c r="AE14" s="15"/>
      <c r="AF14" s="15"/>
      <c r="AG14" s="15"/>
      <c r="AH14" s="15"/>
      <c r="AI14" s="15"/>
    </row>
    <row r="15">
      <c r="A15" s="5" t="s">
        <v>538</v>
      </c>
      <c r="B15" s="15">
        <v>1.0</v>
      </c>
      <c r="F15" s="15">
        <v>1.0</v>
      </c>
    </row>
    <row r="16">
      <c r="A16" s="5" t="s">
        <v>539</v>
      </c>
      <c r="B16" s="15">
        <v>1.0</v>
      </c>
      <c r="O16" s="15">
        <v>1.0</v>
      </c>
    </row>
    <row r="17">
      <c r="A17" s="5" t="s">
        <v>540</v>
      </c>
      <c r="B17" s="15">
        <v>1.0</v>
      </c>
      <c r="P17" s="15">
        <v>1.0</v>
      </c>
    </row>
    <row r="18">
      <c r="A18" s="5" t="s">
        <v>541</v>
      </c>
      <c r="B18" s="15">
        <v>7.0</v>
      </c>
      <c r="F18" s="15">
        <v>1.0</v>
      </c>
      <c r="I18" s="15">
        <v>2.0</v>
      </c>
      <c r="AB18" s="15">
        <v>1.0</v>
      </c>
      <c r="AC18" s="15">
        <v>1.0</v>
      </c>
      <c r="AD18" s="15">
        <v>1.0</v>
      </c>
      <c r="AE18" s="15">
        <v>1.0</v>
      </c>
      <c r="AF18" s="15"/>
      <c r="AG18" s="15"/>
      <c r="AH18" s="15"/>
      <c r="AI18" s="15"/>
    </row>
    <row r="19">
      <c r="A19" s="5" t="s">
        <v>549</v>
      </c>
      <c r="B19" s="15">
        <v>9.0</v>
      </c>
      <c r="C19" s="15">
        <v>1.0</v>
      </c>
      <c r="E19" s="15">
        <v>2.0</v>
      </c>
      <c r="F19" s="15">
        <v>1.0</v>
      </c>
      <c r="J19" s="15">
        <v>1.0</v>
      </c>
      <c r="Q19" s="15">
        <v>1.0</v>
      </c>
      <c r="S19" s="15">
        <v>1.0</v>
      </c>
      <c r="W19" s="15">
        <v>1.0</v>
      </c>
      <c r="AI19" s="15">
        <v>1.0</v>
      </c>
    </row>
    <row r="20">
      <c r="A20" s="5" t="s">
        <v>550</v>
      </c>
      <c r="B20" s="15">
        <v>1.0</v>
      </c>
      <c r="F20" s="15">
        <v>1.0</v>
      </c>
    </row>
    <row r="21">
      <c r="A21" s="5" t="s">
        <v>551</v>
      </c>
      <c r="B21" s="15">
        <v>3.0</v>
      </c>
      <c r="E21" s="15">
        <v>1.0</v>
      </c>
      <c r="I21" s="15">
        <v>1.0</v>
      </c>
      <c r="AC21" s="15">
        <v>1.0</v>
      </c>
    </row>
    <row r="22">
      <c r="A22" s="5" t="s">
        <v>554</v>
      </c>
      <c r="B22" s="15">
        <v>1.0</v>
      </c>
      <c r="AF22" s="15">
        <v>1.0</v>
      </c>
      <c r="AG22" s="15"/>
      <c r="AH22" s="15"/>
      <c r="AI22" s="15"/>
    </row>
    <row r="23">
      <c r="A23" s="5" t="s">
        <v>573</v>
      </c>
      <c r="B23" s="15">
        <v>1.0</v>
      </c>
      <c r="AG23" s="15">
        <v>1.0</v>
      </c>
      <c r="AH23" s="15"/>
      <c r="AI23" s="15"/>
    </row>
    <row r="24">
      <c r="A24" s="5" t="s">
        <v>556</v>
      </c>
      <c r="B24" s="15">
        <v>2.0</v>
      </c>
      <c r="AF24" s="15">
        <v>1.0</v>
      </c>
      <c r="AG24" s="15">
        <v>1.0</v>
      </c>
      <c r="AH24" s="15"/>
      <c r="AI24" s="15"/>
    </row>
    <row r="25">
      <c r="A25" s="5" t="s">
        <v>560</v>
      </c>
      <c r="B25" s="15">
        <v>1.0</v>
      </c>
      <c r="Y25" s="15">
        <v>1.0</v>
      </c>
    </row>
    <row r="26">
      <c r="A26" s="5" t="s">
        <v>562</v>
      </c>
      <c r="B26" s="15">
        <v>1.0</v>
      </c>
      <c r="AH26" s="15">
        <v>1.0</v>
      </c>
      <c r="AI26" s="15"/>
    </row>
    <row r="27">
      <c r="A27" s="5" t="s">
        <v>564</v>
      </c>
      <c r="B27" s="15">
        <v>1.0</v>
      </c>
      <c r="AF27" s="15">
        <v>1.0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</sheetData>
  <drawing r:id="rId2"/>
</worksheet>
</file>